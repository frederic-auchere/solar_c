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nbizien/Documents/"/>
    </mc:Choice>
  </mc:AlternateContent>
  <xr:revisionPtr revIDLastSave="0" documentId="13_ncr:1_{E1A5639E-0AD6-8043-92E6-4F4F8856C2F1}" xr6:coauthVersionLast="47" xr6:coauthVersionMax="47" xr10:uidLastSave="{00000000-0000-0000-0000-000000000000}"/>
  <bookViews>
    <workbookView xWindow="0" yWindow="500" windowWidth="38400" windowHeight="23500" xr2:uid="{00000000-000D-0000-FFFF-FFFF00000000}"/>
  </bookViews>
  <sheets>
    <sheet name="fit" sheetId="1" r:id="rId1"/>
    <sheet name="options2" sheetId="4" r:id="rId2"/>
    <sheet name="options" sheetId="2"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O80" i="4" l="1"/>
  <c r="D76" i="4"/>
  <c r="B72" i="4"/>
  <c r="C72" i="4"/>
  <c r="G84" i="4"/>
  <c r="D84" i="4"/>
  <c r="G101" i="4"/>
  <c r="D101" i="4"/>
  <c r="D93" i="4" l="1"/>
  <c r="O97" i="4"/>
  <c r="O63" i="4"/>
  <c r="O29" i="4"/>
  <c r="O46" i="4"/>
  <c r="C38" i="4"/>
  <c r="B38" i="4"/>
  <c r="O12" i="4"/>
  <c r="D48" i="2"/>
  <c r="D29" i="2"/>
  <c r="C19" i="2"/>
  <c r="B19" i="2"/>
</calcChain>
</file>

<file path=xl/sharedStrings.xml><?xml version="1.0" encoding="utf-8"?>
<sst xmlns="http://schemas.openxmlformats.org/spreadsheetml/2006/main" count="544" uniqueCount="102">
  <si>
    <t>File</t>
  </si>
  <si>
    <t>Reference</t>
  </si>
  <si>
    <t>Standard</t>
  </si>
  <si>
    <t>Sphere</t>
  </si>
  <si>
    <t>Tolerance</t>
  </si>
  <si>
    <t>Parameters</t>
  </si>
  <si>
    <t>dx, dy</t>
  </si>
  <si>
    <t>Shape</t>
  </si>
  <si>
    <t>Circular</t>
  </si>
  <si>
    <t>Type</t>
  </si>
  <si>
    <t>2.1 Surface</t>
  </si>
  <si>
    <t>2. Substrate</t>
  </si>
  <si>
    <t>2.2 Aperture</t>
  </si>
  <si>
    <t>2.3 Useful area</t>
  </si>
  <si>
    <t>3. Reference</t>
  </si>
  <si>
    <t>dy [mm]</t>
  </si>
  <si>
    <t>r [mm]</t>
  </si>
  <si>
    <t>4. Sag data</t>
  </si>
  <si>
    <t>4.1 Path</t>
  </si>
  <si>
    <t>4.2 Data</t>
  </si>
  <si>
    <t>1. Options</t>
  </si>
  <si>
    <t>Method</t>
  </si>
  <si>
    <t>powell</t>
  </si>
  <si>
    <t>Objective</t>
  </si>
  <si>
    <t>std</t>
  </si>
  <si>
    <t>floating</t>
  </si>
  <si>
    <t>binning</t>
  </si>
  <si>
    <t>rms</t>
  </si>
  <si>
    <t>lad</t>
  </si>
  <si>
    <t>fixed</t>
  </si>
  <si>
    <t>Surfaces</t>
  </si>
  <si>
    <t>EllipticalGrating</t>
  </si>
  <si>
    <t>Shapes</t>
  </si>
  <si>
    <t>dx [mm]</t>
  </si>
  <si>
    <t>x_width [mm]</t>
  </si>
  <si>
    <t>y_width [mm]</t>
  </si>
  <si>
    <t>Rectangular</t>
  </si>
  <si>
    <t>r, dx, dy</t>
  </si>
  <si>
    <t>theta1 [°]</t>
  </si>
  <si>
    <t>theta2 [°]</t>
  </si>
  <si>
    <t>Pie</t>
  </si>
  <si>
    <t>Powell</t>
  </si>
  <si>
    <t>SW</t>
  </si>
  <si>
    <t>LW</t>
  </si>
  <si>
    <t>k</t>
  </si>
  <si>
    <t>Aperture</t>
  </si>
  <si>
    <t>Surface</t>
  </si>
  <si>
    <t>UsefulArea</t>
  </si>
  <si>
    <t>dz [mm]</t>
  </si>
  <si>
    <t>alpha [°]</t>
  </si>
  <si>
    <t>beta [°]</t>
  </si>
  <si>
    <t>gamma [°]</t>
  </si>
  <si>
    <t>dy  [mm]</t>
  </si>
  <si>
    <r>
      <t>a [mm</t>
    </r>
    <r>
      <rPr>
        <vertAlign val="superscript"/>
        <sz val="11"/>
        <color theme="1"/>
        <rFont val="Calibri"/>
        <family val="2"/>
        <scheme val="minor"/>
      </rPr>
      <t>-1</t>
    </r>
    <r>
      <rPr>
        <sz val="11"/>
        <color theme="1"/>
        <rFont val="Calibri"/>
        <family val="2"/>
        <scheme val="minor"/>
      </rPr>
      <t>]</t>
    </r>
  </si>
  <si>
    <t>c [mm]</t>
  </si>
  <si>
    <t>Substrates</t>
  </si>
  <si>
    <t>LW octagon</t>
  </si>
  <si>
    <t>SW octagon</t>
  </si>
  <si>
    <t>LW rectangular</t>
  </si>
  <si>
    <t>SW rectangular</t>
  </si>
  <si>
    <t>SW octagon (sphere)</t>
  </si>
  <si>
    <t>LW octagon (sphere)</t>
  </si>
  <si>
    <t>LW rectangular (sphere)</t>
  </si>
  <si>
    <t>SW rectangular (sphere)</t>
  </si>
  <si>
    <r>
      <t>b [mm</t>
    </r>
    <r>
      <rPr>
        <vertAlign val="superscript"/>
        <sz val="11"/>
        <color theme="1"/>
        <rFont val="Calibri"/>
        <family val="2"/>
        <scheme val="minor"/>
      </rPr>
      <t>-1</t>
    </r>
    <r>
      <rPr>
        <sz val="11"/>
        <color theme="1"/>
        <rFont val="Calibri"/>
        <family val="2"/>
        <scheme val="minor"/>
      </rPr>
      <t>]</t>
    </r>
  </si>
  <si>
    <t>2.4 Fiducials</t>
  </si>
  <si>
    <t>x1 [mm]</t>
  </si>
  <si>
    <t>y1 [mm]</t>
  </si>
  <si>
    <t>x2 [mm]</t>
  </si>
  <si>
    <t>y2 [mm]</t>
  </si>
  <si>
    <t>x3 [mm]</t>
  </si>
  <si>
    <t>y3 [mm]</t>
  </si>
  <si>
    <t>x1 [pixels]</t>
  </si>
  <si>
    <t>y1 [pixels]</t>
  </si>
  <si>
    <t>x2 [pixels]</t>
  </si>
  <si>
    <t>y2 [pixels]</t>
  </si>
  <si>
    <t>x3 [pixels]</t>
  </si>
  <si>
    <t>y3 [pixels]</t>
  </si>
  <si>
    <t>C:\Users\fauchere\Documents\01-Projects\02-Space\Solar C\EPSILON\Optics\Metrology\Zygo\Test</t>
  </si>
  <si>
    <t>LW_rectangle_20250425_012.asc</t>
  </si>
  <si>
    <t>LW_rectangle_20250425_003.asc</t>
  </si>
  <si>
    <t>crown index</t>
  </si>
  <si>
    <t>Useful area over which th fit is performed</t>
  </si>
  <si>
    <t>Measured position of the three fiducials in the EGA reference frame</t>
  </si>
  <si>
    <t>Initial reference wavefront used for the fit.</t>
  </si>
  <si>
    <t>(x1, y1), (x2, y2), (x3, y3) are the coordinates in pixels of the three fiducials. Their order with respect to the definition in 2.4 does not matter.
Binning defines the rebinnined performed on the data prior to fitting, not how much the data was binned during the acquisition.</t>
  </si>
  <si>
    <t xml:space="preserve">Surface fitting options
</t>
  </si>
  <si>
    <t>Nominal shape of the susbstrate (in Zemax notations)</t>
  </si>
  <si>
    <t>Outer dimensions of the substrate. Must include the useful area but  the exact shape is not critical.</t>
  </si>
  <si>
    <t>radius [mm]</t>
  </si>
  <si>
    <t>dx</t>
  </si>
  <si>
    <t>dy</t>
  </si>
  <si>
    <t>SN1</t>
  </si>
  <si>
    <t>SN2</t>
  </si>
  <si>
    <t>SN3</t>
  </si>
  <si>
    <t>SN4</t>
  </si>
  <si>
    <t>SN5</t>
  </si>
  <si>
    <t>SN6</t>
  </si>
  <si>
    <t>SN7</t>
  </si>
  <si>
    <t>SN8</t>
  </si>
  <si>
    <t>SN</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</si>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</sst>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7" formatCode="0.000"/>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vertAlign val="superscript"/>
      <sz val="11"/>
      <color theme="1"/>
      <name val="Calibri"/>
      <family val="2"/>
      <scheme val="minor"/>
    </font>
    <font>
      <sz val="11"/>
      <color theme="1"/>
      <name val="Calibri"/>
      <family val="2"/>
    </font>
    <font>
      <sz val="11"/>
      <color rgb="FF000000"/>
      <name val="Calibri"/>
      <family val="2"/>
      <scheme val="minor"/>
    </font>
    <font>
      <sz val="8"/>
      <name val="Calibri"/>
      <family val="2"/>
      <scheme val="minor"/>
    </font>
    <font>
      <b/>
      <sz val="16"/>
      <color theme="1"/>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59999389629810485"/>
        <bgColor indexed="64"/>
      </patternFill>
    </fill>
    <fill>
      <patternFill patternType="solid">
        <fgColor theme="0" tint="-0.14999847407452621"/>
        <bgColor indexed="64"/>
      </patternFill>
    </fill>
    <fill>
      <patternFill patternType="solid">
        <fgColor theme="5"/>
        <bgColor indexed="64"/>
      </patternFill>
    </fill>
    <fill>
      <patternFill patternType="solid">
        <fgColor theme="9"/>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3">
    <xf numFmtId="0" fontId="0" fillId="0" borderId="0" xfId="0"/>
    <xf numFmtId="0" fontId="0" fillId="0" borderId="0" xfId="0" applyProtection="1">
      <protection locked="0"/>
    </xf>
    <xf numFmtId="11" fontId="0" fillId="0" borderId="10" xfId="0" applyNumberFormat="1" applyBorder="1" applyProtection="1">
      <protection locked="0"/>
    </xf>
    <xf numFmtId="0" fontId="0" fillId="0" borderId="10" xfId="0" applyBorder="1" applyAlignment="1" applyProtection="1">
      <alignment horizontal="right"/>
      <protection locked="0"/>
    </xf>
    <xf numFmtId="0" fontId="0" fillId="0" borderId="10" xfId="0" applyBorder="1" applyAlignment="1" applyProtection="1">
      <alignment horizontal="right" indent="1"/>
      <protection locked="0"/>
    </xf>
    <xf numFmtId="0" fontId="0" fillId="0" borderId="10" xfId="0" applyBorder="1" applyProtection="1">
      <protection locked="0"/>
    </xf>
    <xf numFmtId="11" fontId="0" fillId="0" borderId="0" xfId="0" applyNumberFormat="1" applyProtection="1">
      <protection locked="0"/>
    </xf>
    <xf numFmtId="0" fontId="0" fillId="0" borderId="10" xfId="0" applyBorder="1" applyAlignment="1">
      <alignment horizontal="center"/>
    </xf>
    <xf numFmtId="0" fontId="0" fillId="34" borderId="0" xfId="0" applyFill="1"/>
    <xf numFmtId="0" fontId="0" fillId="0" borderId="10" xfId="0" applyBorder="1"/>
    <xf numFmtId="0" fontId="0" fillId="0" borderId="10" xfId="0" applyBorder="1" applyAlignment="1">
      <alignment horizontal="right"/>
    </xf>
    <xf numFmtId="0" fontId="0" fillId="0" borderId="11" xfId="0" applyBorder="1"/>
    <xf numFmtId="0" fontId="16" fillId="0" borderId="0" xfId="0" applyFont="1"/>
    <xf numFmtId="0" fontId="0" fillId="0" borderId="0" xfId="0" applyAlignment="1">
      <alignment horizontal="center"/>
    </xf>
    <xf numFmtId="0" fontId="0" fillId="34" borderId="0" xfId="0" applyFill="1" applyProtection="1">
      <protection locked="0"/>
    </xf>
    <xf numFmtId="0" fontId="0" fillId="0" borderId="10" xfId="0" applyBorder="1" applyAlignment="1" applyProtection="1">
      <alignment horizontal="center"/>
      <protection locked="0"/>
    </xf>
    <xf numFmtId="0" fontId="0" fillId="0" borderId="10" xfId="0" applyBorder="1" applyAlignment="1">
      <alignment horizontal="left"/>
    </xf>
    <xf numFmtId="0" fontId="0" fillId="0" borderId="0" xfId="0" applyAlignment="1">
      <alignment vertical="top" wrapText="1"/>
    </xf>
    <xf numFmtId="0" fontId="0" fillId="0" borderId="0" xfId="0" applyAlignment="1">
      <alignment vertical="top"/>
    </xf>
    <xf numFmtId="0" fontId="0" fillId="0" borderId="0" xfId="0" applyAlignment="1" applyProtection="1">
      <alignment vertical="top"/>
      <protection locked="0"/>
    </xf>
    <xf numFmtId="0" fontId="0" fillId="0" borderId="0" xfId="0" applyAlignment="1">
      <alignment horizontal="center" vertical="top"/>
    </xf>
    <xf numFmtId="0" fontId="0" fillId="0" borderId="0" xfId="0" applyAlignment="1">
      <alignment horizontal="left" vertical="top" wrapText="1"/>
    </xf>
    <xf numFmtId="0" fontId="0" fillId="0" borderId="0" xfId="0" applyAlignment="1">
      <alignment horizontal="left" vertical="top"/>
    </xf>
    <xf numFmtId="0" fontId="0" fillId="0" borderId="12" xfId="0" applyBorder="1" applyAlignment="1">
      <alignment horizontal="left" vertical="top" wrapText="1"/>
    </xf>
    <xf numFmtId="0" fontId="0" fillId="0" borderId="0" xfId="0" applyProtection="1">
      <protection locked="0"/>
    </xf>
    <xf numFmtId="0" fontId="0" fillId="0" borderId="0" xfId="0" quotePrefix="1" applyProtection="1">
      <protection locked="0"/>
    </xf>
    <xf numFmtId="0" fontId="0" fillId="34" borderId="0" xfId="0" applyFill="1"/>
    <xf numFmtId="0" fontId="0" fillId="0" borderId="0" xfId="0" applyAlignment="1" applyProtection="1">
      <alignment horizontal="center"/>
      <protection locked="0"/>
    </xf>
    <xf numFmtId="0" fontId="0" fillId="0" borderId="0" xfId="0" applyAlignment="1" applyProtection="1">
      <alignment horizontal="left" vertical="top"/>
      <protection locked="0"/>
    </xf>
    <xf numFmtId="0" fontId="16" fillId="33" borderId="0" xfId="0" applyFont="1" applyFill="1"/>
    <xf numFmtId="0" fontId="16" fillId="0" borderId="0" xfId="0" applyFont="1" applyAlignment="1">
      <alignment horizontal="center"/>
    </xf>
    <xf numFmtId="0" fontId="0" fillId="0" borderId="0" xfId="0"/>
    <xf numFmtId="0" fontId="19" fillId="0" borderId="10" xfId="0" applyFont="1" applyBorder="1" applyAlignment="1">
      <alignment horizontal="right"/>
    </xf>
    <xf numFmtId="0" fontId="0" fillId="0" borderId="13" xfId="0" applyFill="1" applyBorder="1"/>
    <xf numFmtId="0" fontId="0" fillId="0" borderId="12" xfId="0" applyFill="1" applyBorder="1"/>
    <xf numFmtId="0" fontId="0" fillId="0" borderId="0" xfId="0" applyFill="1" applyBorder="1" applyAlignment="1">
      <alignment horizontal="center"/>
    </xf>
    <xf numFmtId="0" fontId="0" fillId="0" borderId="0" xfId="0" applyFill="1" applyBorder="1"/>
    <xf numFmtId="0" fontId="0" fillId="0" borderId="0" xfId="0" applyBorder="1"/>
    <xf numFmtId="0" fontId="20" fillId="0" borderId="10" xfId="0" applyFont="1" applyBorder="1" applyAlignment="1" applyProtection="1">
      <alignment horizontal="center"/>
      <protection locked="0"/>
    </xf>
    <xf numFmtId="0" fontId="20" fillId="0" borderId="14" xfId="0" applyFont="1" applyBorder="1" applyAlignment="1" applyProtection="1">
      <alignment horizontal="center"/>
      <protection locked="0"/>
    </xf>
    <xf numFmtId="0" fontId="20" fillId="0" borderId="15" xfId="0" applyFont="1" applyBorder="1" applyProtection="1">
      <protection locked="0"/>
    </xf>
    <xf numFmtId="0" fontId="20" fillId="0" borderId="16" xfId="0" applyFont="1" applyBorder="1" applyProtection="1">
      <protection locked="0"/>
    </xf>
    <xf numFmtId="0" fontId="20" fillId="0" borderId="0" xfId="0" applyFont="1" applyProtection="1">
      <protection locked="0"/>
    </xf>
    <xf numFmtId="0" fontId="22" fillId="35" borderId="0" xfId="0" applyFont="1" applyFill="1"/>
    <xf numFmtId="0" fontId="22" fillId="35" borderId="0" xfId="0" applyFont="1" applyFill="1" applyAlignment="1">
      <alignment horizontal="left"/>
    </xf>
    <xf numFmtId="0" fontId="0" fillId="0" borderId="12" xfId="0" applyBorder="1"/>
    <xf numFmtId="0" fontId="0" fillId="36" borderId="10" xfId="0" applyFill="1" applyBorder="1"/>
    <xf numFmtId="0" fontId="0" fillId="36" borderId="10" xfId="0" applyFill="1" applyBorder="1" applyAlignment="1">
      <alignment horizontal="center"/>
    </xf>
    <xf numFmtId="0" fontId="0" fillId="36" borderId="11" xfId="0" applyFill="1" applyBorder="1"/>
    <xf numFmtId="167" fontId="0" fillId="0" borderId="0" xfId="0" applyNumberFormat="1"/>
    <xf numFmtId="167" fontId="16" fillId="0" borderId="0" xfId="0" applyNumberFormat="1" applyFont="1"/>
    <xf numFmtId="167" fontId="0" fillId="0" borderId="10" xfId="0" applyNumberFormat="1" applyBorder="1" applyAlignment="1" applyProtection="1">
      <alignment horizontal="right"/>
      <protection locked="0"/>
    </xf>
    <xf numFmtId="167" fontId="0" fillId="0" borderId="10" xfId="0" applyNumberFormat="1" applyBorder="1" applyProtection="1">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154"/>
  <sheetViews>
    <sheetView tabSelected="1" workbookViewId="0">
      <selection activeCell="H25" sqref="H25"/>
    </sheetView>
  </sheetViews>
  <sheetFormatPr baseColWidth="10" defaultColWidth="9" defaultRowHeight="15" x14ac:dyDescent="0.2"/>
  <cols>
    <col min="1" max="1" width="17" style="1" customWidth="1"/>
    <col min="2" max="2" width="11.83203125" style="1" bestFit="1" customWidth="1"/>
    <col min="3" max="4" width="11.83203125" style="1" customWidth="1"/>
    <col min="5" max="5" width="12.33203125" style="1" customWidth="1"/>
    <col min="6" max="6" width="12" style="1" customWidth="1"/>
    <col min="7" max="7" width="8.6640625" style="1" bestFit="1" customWidth="1"/>
    <col min="8" max="8" width="6.6640625" style="1" bestFit="1" customWidth="1"/>
    <col min="9" max="9" width="27.6640625" style="1" bestFit="1" customWidth="1"/>
    <col min="10" max="16384" width="9" style="1"/>
  </cols>
  <sheetData>
    <row r="1" spans="1:19" s="29" customFormat="1" x14ac:dyDescent="0.2">
      <c r="A1" s="29" t="s">
        <v>20</v>
      </c>
    </row>
    <row r="2" spans="1:19" customFormat="1" ht="15" customHeight="1" x14ac:dyDescent="0.2">
      <c r="A2" s="7" t="s">
        <v>4</v>
      </c>
      <c r="B2" s="7" t="s">
        <v>21</v>
      </c>
      <c r="C2" s="7" t="s">
        <v>23</v>
      </c>
      <c r="D2" s="7" t="s">
        <v>1</v>
      </c>
      <c r="E2" s="7" t="s">
        <v>5</v>
      </c>
      <c r="F2" s="13"/>
      <c r="J2" s="1"/>
      <c r="K2" s="17"/>
      <c r="L2" s="17"/>
      <c r="M2" s="21" t="s">
        <v>86</v>
      </c>
      <c r="N2" s="21"/>
      <c r="O2" s="21"/>
      <c r="P2" s="21"/>
    </row>
    <row r="3" spans="1:19" x14ac:dyDescent="0.2">
      <c r="A3" s="2">
        <v>1.0000000000000001E-9</v>
      </c>
      <c r="B3" s="3" t="s">
        <v>22</v>
      </c>
      <c r="C3" s="4" t="s">
        <v>27</v>
      </c>
      <c r="D3" s="3" t="s">
        <v>25</v>
      </c>
      <c r="E3" s="3" t="s">
        <v>6</v>
      </c>
      <c r="J3" s="17"/>
      <c r="K3" s="17"/>
      <c r="L3" s="17"/>
      <c r="M3" s="21"/>
      <c r="N3" s="21"/>
      <c r="O3" s="21"/>
      <c r="P3" s="21"/>
    </row>
    <row r="4" spans="1:19" s="24" customFormat="1" x14ac:dyDescent="0.2"/>
    <row r="5" spans="1:19" s="29" customFormat="1" x14ac:dyDescent="0.2">
      <c r="A5" s="29" t="s">
        <v>11</v>
      </c>
    </row>
    <row r="6" spans="1:19" s="12" customFormat="1" x14ac:dyDescent="0.2">
      <c r="A6" t="s">
        <v>59</v>
      </c>
      <c r="B6" s="49" t="s">
        <v>92</v>
      </c>
      <c r="C6" s="50"/>
      <c r="D6" s="50"/>
      <c r="E6" s="50"/>
    </row>
    <row r="7" spans="1:19" s="30" customFormat="1" x14ac:dyDescent="0.2"/>
    <row r="8" spans="1:19" s="8" customFormat="1" x14ac:dyDescent="0.2">
      <c r="A8" s="8" t="s">
        <v>10</v>
      </c>
    </row>
    <row r="9" spans="1:19" customFormat="1" x14ac:dyDescent="0.2">
      <c r="A9" s="7" t="s">
        <v>9</v>
      </c>
      <c r="B9" s="7" t="s">
        <v>16</v>
      </c>
      <c r="C9" s="7" t="s">
        <v>44</v>
      </c>
      <c r="D9" s="7" t="s">
        <v>33</v>
      </c>
      <c r="E9" s="7" t="s">
        <v>15</v>
      </c>
      <c r="F9" t="s">
        <v>48</v>
      </c>
      <c r="G9" t="s">
        <v>49</v>
      </c>
      <c r="H9" t="s">
        <v>50</v>
      </c>
      <c r="I9" t="s">
        <v>51</v>
      </c>
      <c r="J9" s="18"/>
      <c r="K9" s="18"/>
      <c r="L9" s="18"/>
      <c r="M9" s="20" t="s">
        <v>87</v>
      </c>
      <c r="N9" s="20"/>
      <c r="O9" s="20"/>
      <c r="P9" s="20"/>
      <c r="Q9" s="20"/>
    </row>
    <row r="10" spans="1:19" customFormat="1" x14ac:dyDescent="0.2">
      <c r="A10" s="10" t="s">
        <v>31</v>
      </c>
      <c r="B10" s="9">
        <v>516.02739999999994</v>
      </c>
      <c r="C10" s="9">
        <v>-0.52286999999999995</v>
      </c>
      <c r="D10" s="9">
        <v>31.838092199999998</v>
      </c>
      <c r="E10" s="9">
        <v>15.069077999999999</v>
      </c>
      <c r="F10">
        <v>2.4463360000000001</v>
      </c>
      <c r="G10">
        <v>3.1515374999999999</v>
      </c>
      <c r="H10">
        <v>-5.0875301999999998</v>
      </c>
      <c r="I10">
        <v>0</v>
      </c>
      <c r="J10" s="18"/>
      <c r="K10" s="18"/>
      <c r="L10" s="18"/>
      <c r="M10" s="20"/>
      <c r="N10" s="20"/>
      <c r="O10" s="20"/>
      <c r="P10" s="20"/>
      <c r="Q10" s="20"/>
    </row>
    <row r="11" spans="1:19" customFormat="1" x14ac:dyDescent="0.2"/>
    <row r="12" spans="1:19" s="8" customFormat="1" x14ac:dyDescent="0.2">
      <c r="A12" s="8" t="s">
        <v>12</v>
      </c>
    </row>
    <row r="13" spans="1:19" customFormat="1" x14ac:dyDescent="0.2">
      <c r="A13" s="7" t="s">
        <v>7</v>
      </c>
      <c r="B13" s="7" t="s">
        <v>34</v>
      </c>
      <c r="C13" s="9" t="s">
        <v>35</v>
      </c>
      <c r="D13" s="7" t="s">
        <v>33</v>
      </c>
      <c r="E13" s="7" t="s">
        <v>15</v>
      </c>
      <c r="J13" s="18"/>
      <c r="K13" s="18"/>
      <c r="L13" s="18"/>
      <c r="M13" s="21" t="s">
        <v>88</v>
      </c>
      <c r="N13" s="21"/>
      <c r="O13" s="21"/>
      <c r="P13" s="21"/>
      <c r="Q13" s="21"/>
      <c r="R13" s="21"/>
      <c r="S13" s="21"/>
    </row>
    <row r="14" spans="1:19" customFormat="1" x14ac:dyDescent="0.2">
      <c r="A14" s="10" t="s">
        <v>36</v>
      </c>
      <c r="B14" s="9">
        <v>61.924999999999997</v>
      </c>
      <c r="C14" s="9">
        <v>86.188000000000002</v>
      </c>
      <c r="D14" s="9">
        <v>11.037499999999998</v>
      </c>
      <c r="E14" s="9">
        <v>0</v>
      </c>
      <c r="J14" s="18"/>
      <c r="K14" s="18"/>
      <c r="L14" s="18"/>
      <c r="M14" s="21"/>
      <c r="N14" s="21"/>
      <c r="O14" s="21"/>
      <c r="P14" s="21"/>
      <c r="Q14" s="21"/>
      <c r="R14" s="21"/>
      <c r="S14" s="21"/>
    </row>
    <row r="15" spans="1:19" customFormat="1" x14ac:dyDescent="0.2"/>
    <row r="16" spans="1:19" s="8" customFormat="1" x14ac:dyDescent="0.2">
      <c r="A16" s="8" t="s">
        <v>13</v>
      </c>
    </row>
    <row r="17" spans="1:18" customFormat="1" x14ac:dyDescent="0.2">
      <c r="A17" s="7" t="s">
        <v>7</v>
      </c>
      <c r="B17" s="7" t="s">
        <v>89</v>
      </c>
      <c r="C17" s="9" t="s">
        <v>38</v>
      </c>
      <c r="D17" s="7" t="s">
        <v>39</v>
      </c>
      <c r="E17" s="7" t="s">
        <v>90</v>
      </c>
      <c r="F17" s="13" t="s">
        <v>91</v>
      </c>
      <c r="H17" s="13"/>
      <c r="I17" s="13"/>
      <c r="J17" s="18"/>
      <c r="K17" s="18"/>
      <c r="L17" s="18"/>
      <c r="M17" s="22" t="s">
        <v>82</v>
      </c>
      <c r="N17" s="22"/>
      <c r="O17" s="22"/>
      <c r="P17" s="22"/>
      <c r="Q17" s="22"/>
    </row>
    <row r="18" spans="1:18" x14ac:dyDescent="0.2">
      <c r="A18" s="32" t="s">
        <v>40</v>
      </c>
      <c r="B18" s="9">
        <v>18.5</v>
      </c>
      <c r="C18" s="9">
        <v>-90</v>
      </c>
      <c r="D18" s="9">
        <v>90</v>
      </c>
      <c r="E18" s="9">
        <v>0</v>
      </c>
      <c r="F18" s="1">
        <v>0</v>
      </c>
      <c r="J18" s="18"/>
      <c r="K18" s="18"/>
      <c r="L18" s="18"/>
      <c r="M18" s="22"/>
      <c r="N18" s="22"/>
      <c r="O18" s="22"/>
      <c r="P18" s="22"/>
      <c r="Q18" s="22"/>
    </row>
    <row r="20" spans="1:18" s="14" customFormat="1" x14ac:dyDescent="0.2">
      <c r="A20" s="14" t="s">
        <v>65</v>
      </c>
    </row>
    <row r="21" spans="1:18" x14ac:dyDescent="0.2">
      <c r="A21" s="15" t="s">
        <v>66</v>
      </c>
      <c r="B21" s="15" t="s">
        <v>67</v>
      </c>
      <c r="C21" s="15" t="s">
        <v>68</v>
      </c>
      <c r="D21" s="15" t="s">
        <v>69</v>
      </c>
      <c r="E21" s="15" t="s">
        <v>70</v>
      </c>
      <c r="F21" s="15" t="s">
        <v>71</v>
      </c>
      <c r="J21" s="19"/>
      <c r="K21" s="19"/>
      <c r="L21" s="19"/>
      <c r="M21" s="28" t="s">
        <v>83</v>
      </c>
      <c r="N21" s="28"/>
      <c r="O21" s="28"/>
      <c r="P21" s="28"/>
      <c r="Q21" s="28"/>
      <c r="R21" s="28"/>
    </row>
    <row r="22" spans="1:18" x14ac:dyDescent="0.2">
      <c r="A22" s="5">
        <v>1.3985000000000001</v>
      </c>
      <c r="B22" s="5">
        <v>1.4245000000000001</v>
      </c>
      <c r="C22" s="5">
        <v>59.97</v>
      </c>
      <c r="D22" s="5">
        <v>43.172499999999999</v>
      </c>
      <c r="E22" s="5">
        <v>1.3985000000000001</v>
      </c>
      <c r="F22" s="5">
        <v>84.933499999999995</v>
      </c>
      <c r="J22" s="19"/>
      <c r="K22" s="19"/>
      <c r="L22" s="19"/>
      <c r="M22" s="28"/>
      <c r="N22" s="28"/>
      <c r="O22" s="28"/>
      <c r="P22" s="28"/>
      <c r="Q22" s="28"/>
      <c r="R22" s="28"/>
    </row>
    <row r="23" spans="1:18" s="27" customFormat="1" x14ac:dyDescent="0.2"/>
    <row r="24" spans="1:18" s="29" customFormat="1" x14ac:dyDescent="0.2">
      <c r="A24" s="29" t="s">
        <v>14</v>
      </c>
    </row>
    <row r="25" spans="1:18" customFormat="1" x14ac:dyDescent="0.2">
      <c r="A25" s="7" t="s">
        <v>9</v>
      </c>
      <c r="B25" s="7" t="s">
        <v>16</v>
      </c>
      <c r="C25" s="7" t="s">
        <v>33</v>
      </c>
      <c r="D25" s="7" t="s">
        <v>15</v>
      </c>
      <c r="J25" s="18"/>
      <c r="K25" s="18"/>
      <c r="L25" s="18"/>
      <c r="M25" s="22" t="s">
        <v>84</v>
      </c>
      <c r="N25" s="22"/>
      <c r="O25" s="22"/>
      <c r="P25" s="22"/>
      <c r="Q25" s="22"/>
      <c r="R25" s="22"/>
    </row>
    <row r="26" spans="1:18" x14ac:dyDescent="0.2">
      <c r="A26" s="51" t="s">
        <v>3</v>
      </c>
      <c r="B26" s="52">
        <v>516.83299999999997</v>
      </c>
      <c r="C26" s="52">
        <v>-13.975</v>
      </c>
      <c r="D26" s="52">
        <v>-13.225</v>
      </c>
      <c r="J26" s="18"/>
      <c r="K26" s="18"/>
      <c r="L26" s="18"/>
      <c r="M26" s="22"/>
      <c r="N26" s="22"/>
      <c r="O26" s="22"/>
      <c r="P26" s="22"/>
      <c r="Q26" s="22"/>
      <c r="R26" s="22"/>
    </row>
    <row r="27" spans="1:18" s="24" customFormat="1" x14ac:dyDescent="0.2"/>
    <row r="28" spans="1:18" s="29" customFormat="1" x14ac:dyDescent="0.2">
      <c r="A28" s="29" t="s">
        <v>17</v>
      </c>
    </row>
    <row r="29" spans="1:18" s="26" customFormat="1" x14ac:dyDescent="0.2">
      <c r="A29" s="26" t="s">
        <v>18</v>
      </c>
    </row>
    <row r="30" spans="1:18" s="24" customFormat="1" x14ac:dyDescent="0.2">
      <c r="A30" s="25" t="s">
        <v>78</v>
      </c>
    </row>
    <row r="31" spans="1:18" s="24" customFormat="1" x14ac:dyDescent="0.2"/>
    <row r="32" spans="1:18" s="26" customFormat="1" x14ac:dyDescent="0.2">
      <c r="A32" s="26" t="s">
        <v>19</v>
      </c>
    </row>
    <row r="33" spans="1:15" customFormat="1" x14ac:dyDescent="0.2">
      <c r="A33" s="9" t="s">
        <v>81</v>
      </c>
      <c r="B33" s="7" t="s">
        <v>72</v>
      </c>
      <c r="C33" s="7" t="s">
        <v>73</v>
      </c>
      <c r="D33" s="7" t="s">
        <v>74</v>
      </c>
      <c r="E33" s="7" t="s">
        <v>75</v>
      </c>
      <c r="F33" s="7" t="s">
        <v>76</v>
      </c>
      <c r="G33" s="7" t="s">
        <v>77</v>
      </c>
      <c r="H33" s="7" t="s">
        <v>26</v>
      </c>
      <c r="I33" s="7" t="s">
        <v>0</v>
      </c>
      <c r="J33" s="23" t="s">
        <v>85</v>
      </c>
      <c r="K33" s="21"/>
      <c r="L33" s="21"/>
      <c r="M33" s="21"/>
      <c r="N33" s="21"/>
      <c r="O33" s="21"/>
    </row>
    <row r="34" spans="1:15" x14ac:dyDescent="0.2">
      <c r="A34" s="5">
        <v>5</v>
      </c>
      <c r="B34" s="5"/>
      <c r="C34" s="5"/>
      <c r="D34" s="5"/>
      <c r="E34" s="5"/>
      <c r="F34" s="5"/>
      <c r="G34" s="5"/>
      <c r="H34" s="5">
        <v>4</v>
      </c>
      <c r="I34" s="5" t="s">
        <v>79</v>
      </c>
      <c r="J34" s="23"/>
      <c r="K34" s="21"/>
      <c r="L34" s="21"/>
      <c r="M34" s="21"/>
      <c r="N34" s="21"/>
      <c r="O34" s="21"/>
    </row>
    <row r="35" spans="1:15" x14ac:dyDescent="0.2">
      <c r="A35" s="5">
        <v>1</v>
      </c>
      <c r="B35" s="5"/>
      <c r="C35" s="5"/>
      <c r="D35" s="5"/>
      <c r="E35" s="5"/>
      <c r="F35" s="5"/>
      <c r="G35" s="5"/>
      <c r="H35" s="5">
        <v>4</v>
      </c>
      <c r="I35" s="5" t="s">
        <v>80</v>
      </c>
      <c r="J35" s="23"/>
      <c r="K35" s="21"/>
      <c r="L35" s="21"/>
      <c r="M35" s="21"/>
      <c r="N35" s="21"/>
      <c r="O35" s="21"/>
    </row>
    <row r="36" spans="1:15" x14ac:dyDescent="0.2">
      <c r="A36" s="5"/>
      <c r="B36" s="5"/>
      <c r="C36" s="5"/>
      <c r="D36" s="5"/>
      <c r="E36" s="5"/>
      <c r="F36" s="5"/>
      <c r="G36" s="5"/>
      <c r="H36" s="5"/>
      <c r="I36" s="5"/>
      <c r="J36" s="23"/>
      <c r="K36" s="21"/>
      <c r="L36" s="21"/>
      <c r="M36" s="21"/>
      <c r="N36" s="21"/>
      <c r="O36" s="21"/>
    </row>
    <row r="37" spans="1:15" x14ac:dyDescent="0.2">
      <c r="A37" s="5"/>
      <c r="B37" s="5"/>
      <c r="C37" s="5"/>
      <c r="D37" s="5"/>
      <c r="E37" s="5"/>
      <c r="F37" s="5"/>
      <c r="G37" s="5"/>
      <c r="H37" s="5"/>
      <c r="I37" s="5"/>
      <c r="J37" s="23"/>
      <c r="K37" s="21"/>
      <c r="L37" s="21"/>
      <c r="M37" s="21"/>
      <c r="N37" s="21"/>
      <c r="O37" s="21"/>
    </row>
    <row r="38" spans="1:15" x14ac:dyDescent="0.2">
      <c r="A38" s="5"/>
      <c r="B38" s="5"/>
      <c r="C38" s="5"/>
      <c r="D38" s="5"/>
      <c r="E38" s="5"/>
      <c r="F38" s="5"/>
      <c r="G38" s="5"/>
      <c r="H38" s="5"/>
      <c r="I38" s="5"/>
      <c r="J38" s="23"/>
      <c r="K38" s="21"/>
      <c r="L38" s="21"/>
      <c r="M38" s="21"/>
      <c r="N38" s="21"/>
      <c r="O38" s="21"/>
    </row>
    <row r="39" spans="1:15" x14ac:dyDescent="0.2">
      <c r="A39" s="5"/>
      <c r="B39" s="5"/>
      <c r="C39" s="5"/>
      <c r="D39" s="5"/>
      <c r="E39" s="5"/>
      <c r="F39" s="5"/>
      <c r="G39" s="5"/>
      <c r="H39" s="5"/>
      <c r="I39" s="5"/>
    </row>
    <row r="40" spans="1:15" x14ac:dyDescent="0.2">
      <c r="A40" s="5"/>
      <c r="B40" s="5"/>
      <c r="C40" s="5"/>
      <c r="D40" s="5"/>
      <c r="E40" s="5"/>
      <c r="F40" s="5"/>
      <c r="G40" s="5"/>
      <c r="H40" s="5"/>
      <c r="I40" s="5"/>
    </row>
    <row r="41" spans="1:15" x14ac:dyDescent="0.2">
      <c r="A41" s="5"/>
      <c r="B41" s="5"/>
      <c r="C41" s="5"/>
      <c r="D41" s="5"/>
      <c r="E41" s="5"/>
      <c r="F41" s="5"/>
      <c r="G41" s="5"/>
      <c r="H41" s="5"/>
      <c r="I41" s="5"/>
    </row>
    <row r="42" spans="1:15" x14ac:dyDescent="0.2">
      <c r="A42" s="5"/>
      <c r="B42" s="5"/>
      <c r="C42" s="5"/>
      <c r="D42" s="5"/>
      <c r="E42" s="5"/>
      <c r="F42" s="5"/>
      <c r="G42" s="5"/>
      <c r="H42" s="5"/>
      <c r="I42" s="5"/>
    </row>
    <row r="43" spans="1:15" x14ac:dyDescent="0.2">
      <c r="A43" s="5"/>
      <c r="B43" s="5"/>
      <c r="C43" s="5"/>
      <c r="D43" s="5"/>
      <c r="E43" s="5"/>
      <c r="F43" s="5"/>
      <c r="G43" s="5"/>
      <c r="H43" s="5"/>
      <c r="I43" s="5"/>
    </row>
    <row r="44" spans="1:15" x14ac:dyDescent="0.2">
      <c r="A44" s="5"/>
      <c r="B44" s="5"/>
      <c r="C44" s="5"/>
      <c r="D44" s="5"/>
      <c r="E44" s="5"/>
      <c r="F44" s="5"/>
      <c r="G44" s="5"/>
      <c r="H44" s="5"/>
      <c r="I44" s="5"/>
    </row>
    <row r="45" spans="1:15" x14ac:dyDescent="0.2">
      <c r="A45" s="5"/>
      <c r="B45" s="5"/>
      <c r="C45" s="5"/>
      <c r="D45" s="5"/>
      <c r="E45" s="5"/>
      <c r="F45" s="5"/>
      <c r="G45" s="5"/>
      <c r="H45" s="5"/>
      <c r="I45" s="5"/>
    </row>
    <row r="154" spans="3:3" x14ac:dyDescent="0.2">
      <c r="C154" s="6"/>
    </row>
  </sheetData>
  <sheetProtection selectLockedCells="1"/>
  <mergeCells count="19">
    <mergeCell ref="A1:XFD1"/>
    <mergeCell ref="A24:XFD24"/>
    <mergeCell ref="A28:XFD28"/>
    <mergeCell ref="A4:XFD4"/>
    <mergeCell ref="A27:XFD27"/>
    <mergeCell ref="A5:XFD5"/>
    <mergeCell ref="A7:XFD7"/>
    <mergeCell ref="M2:P3"/>
    <mergeCell ref="M9:Q10"/>
    <mergeCell ref="M13:S14"/>
    <mergeCell ref="M17:Q18"/>
    <mergeCell ref="J33:O38"/>
    <mergeCell ref="A31:XFD31"/>
    <mergeCell ref="A30:XFD30"/>
    <mergeCell ref="A29:XFD29"/>
    <mergeCell ref="A32:XFD32"/>
    <mergeCell ref="A23:XFD23"/>
    <mergeCell ref="M21:R22"/>
    <mergeCell ref="M25:R26"/>
  </mergeCells>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7">
        <x14:dataValidation type="list" allowBlank="1" showInputMessage="1" showErrorMessage="1" xr:uid="{FD697CB8-BC54-434F-A65F-3DDD7DCD54FC}">
          <x14:formula1>
            <xm:f>options!$B$2:$B$3</xm:f>
          </x14:formula1>
          <xm:sqref>B3</xm:sqref>
        </x14:dataValidation>
        <x14:dataValidation type="list" allowBlank="1" showInputMessage="1" showErrorMessage="1" xr:uid="{B47CE30C-43EA-4CB4-A001-2A5F5C8F1189}">
          <x14:formula1>
            <xm:f>options!$A$2:$A$4</xm:f>
          </x14:formula1>
          <xm:sqref>C3</xm:sqref>
        </x14:dataValidation>
        <x14:dataValidation type="list" allowBlank="1" showInputMessage="1" showErrorMessage="1" xr:uid="{16AC3692-FE1A-4B3E-BBA1-3172421F81A9}">
          <x14:formula1>
            <xm:f>options!$C$2:$C$3</xm:f>
          </x14:formula1>
          <xm:sqref>D3</xm:sqref>
        </x14:dataValidation>
        <x14:dataValidation type="list" allowBlank="1" showInputMessage="1" showErrorMessage="1" xr:uid="{D137071E-566B-430C-80E0-15FB33ED8D26}">
          <x14:formula1>
            <xm:f>options!$F$2:$F$4</xm:f>
          </x14:formula1>
          <xm:sqref>E3</xm:sqref>
        </x14:dataValidation>
        <x14:dataValidation type="list" allowBlank="1" showInputMessage="1" showErrorMessage="1" xr:uid="{CFE01E3D-29DA-4A05-9541-A70BBFEA9FA8}">
          <x14:formula1>
            <xm:f>options!$A$7:$A$14</xm:f>
          </x14:formula1>
          <xm:sqref>A6</xm:sqref>
        </x14:dataValidation>
        <x14:dataValidation type="list" allowBlank="1" showInputMessage="1" showErrorMessage="1" xr:uid="{AD318A77-2F3A-4723-8D31-30C1CD0C1162}">
          <x14:formula1>
            <xm:f>options!$E$2:$E$4</xm:f>
          </x14:formula1>
          <xm:sqref>A18</xm:sqref>
        </x14:dataValidation>
        <x14:dataValidation type="list" allowBlank="1" showInputMessage="1" showErrorMessage="1" xr:uid="{3A1006F6-E5EA-BF4F-B9C0-51A6112C7118}">
          <x14:formula1>
            <xm:f>options!$C$7:$C$14</xm:f>
          </x14:formula1>
          <xm:sqref>B6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6E847-31DD-1149-9AAB-CD200645F4DB}">
  <sheetPr codeName="Sheet3"/>
  <dimension ref="A1:W101"/>
  <sheetViews>
    <sheetView topLeftCell="A20" zoomScaleNormal="100" workbookViewId="0">
      <selection activeCell="M84" sqref="M84"/>
    </sheetView>
  </sheetViews>
  <sheetFormatPr baseColWidth="10" defaultColWidth="8.83203125" defaultRowHeight="15" x14ac:dyDescent="0.2"/>
  <cols>
    <col min="1" max="1" width="20.6640625" bestFit="1" customWidth="1"/>
    <col min="2" max="3" width="12.6640625" bestFit="1" customWidth="1"/>
    <col min="4" max="4" width="13.33203125" bestFit="1" customWidth="1"/>
    <col min="5" max="5" width="10.1640625" bestFit="1" customWidth="1"/>
    <col min="6" max="6" width="9.6640625" bestFit="1" customWidth="1"/>
  </cols>
  <sheetData>
    <row r="1" spans="1:23" s="12" customFormat="1" ht="21" x14ac:dyDescent="0.25">
      <c r="A1" s="44" t="s">
        <v>61</v>
      </c>
      <c r="B1" s="44"/>
    </row>
    <row r="2" spans="1:23" s="26" customFormat="1" x14ac:dyDescent="0.2">
      <c r="A2" s="26" t="s">
        <v>10</v>
      </c>
    </row>
    <row r="3" spans="1:23" x14ac:dyDescent="0.2">
      <c r="A3" s="7" t="s">
        <v>9</v>
      </c>
      <c r="B3" s="7" t="s">
        <v>16</v>
      </c>
      <c r="C3" s="7" t="s">
        <v>33</v>
      </c>
      <c r="D3" s="7" t="s">
        <v>15</v>
      </c>
    </row>
    <row r="4" spans="1:23" x14ac:dyDescent="0.2">
      <c r="A4" s="16" t="s">
        <v>3</v>
      </c>
      <c r="B4" s="9">
        <v>527.99199999999996</v>
      </c>
      <c r="C4" s="9">
        <v>7.1459999999999999</v>
      </c>
      <c r="D4" s="9">
        <v>-1.1539999999999999</v>
      </c>
    </row>
    <row r="5" spans="1:23" s="31" customFormat="1" x14ac:dyDescent="0.2"/>
    <row r="6" spans="1:23" s="26" customFormat="1" x14ac:dyDescent="0.2">
      <c r="A6" s="26" t="s">
        <v>12</v>
      </c>
    </row>
    <row r="7" spans="1:23" x14ac:dyDescent="0.2">
      <c r="A7" s="7" t="s">
        <v>7</v>
      </c>
      <c r="B7" s="9" t="s">
        <v>34</v>
      </c>
      <c r="C7" s="9" t="s">
        <v>35</v>
      </c>
      <c r="D7" s="9" t="s">
        <v>33</v>
      </c>
      <c r="E7" s="9" t="s">
        <v>15</v>
      </c>
    </row>
    <row r="8" spans="1:23" x14ac:dyDescent="0.2">
      <c r="A8" s="9" t="s">
        <v>36</v>
      </c>
      <c r="B8" s="9">
        <v>21.925000000000001</v>
      </c>
      <c r="C8" s="9">
        <v>46.188000000000002</v>
      </c>
      <c r="D8" s="9">
        <v>-11.0375</v>
      </c>
      <c r="E8" s="9">
        <v>0</v>
      </c>
    </row>
    <row r="9" spans="1:23" s="31" customFormat="1" x14ac:dyDescent="0.2"/>
    <row r="10" spans="1:23" s="26" customFormat="1" x14ac:dyDescent="0.2">
      <c r="A10" s="26" t="s">
        <v>13</v>
      </c>
    </row>
    <row r="11" spans="1:23" x14ac:dyDescent="0.2">
      <c r="A11" s="7" t="s">
        <v>7</v>
      </c>
      <c r="B11" s="9" t="s">
        <v>89</v>
      </c>
      <c r="C11" s="9" t="s">
        <v>38</v>
      </c>
      <c r="D11" s="9" t="s">
        <v>39</v>
      </c>
      <c r="E11" s="9" t="s">
        <v>90</v>
      </c>
      <c r="F11" s="7" t="s">
        <v>91</v>
      </c>
      <c r="G11" s="33"/>
      <c r="H11" s="13"/>
      <c r="I11" s="34"/>
      <c r="J11" s="35"/>
      <c r="K11" s="36"/>
      <c r="L11" s="9" t="s">
        <v>7</v>
      </c>
      <c r="M11" s="9" t="s">
        <v>34</v>
      </c>
      <c r="N11" s="9" t="s">
        <v>35</v>
      </c>
      <c r="O11" s="9" t="s">
        <v>33</v>
      </c>
      <c r="P11" s="9" t="s">
        <v>52</v>
      </c>
      <c r="R11" s="7" t="s">
        <v>7</v>
      </c>
      <c r="S11" s="9" t="s">
        <v>89</v>
      </c>
    </row>
    <row r="12" spans="1:23" s="1" customFormat="1" x14ac:dyDescent="0.2">
      <c r="A12" s="9" t="s">
        <v>40</v>
      </c>
      <c r="B12" s="9">
        <v>18.5</v>
      </c>
      <c r="C12" s="9">
        <v>90</v>
      </c>
      <c r="D12" s="9">
        <v>-90</v>
      </c>
      <c r="E12" s="9">
        <v>0</v>
      </c>
      <c r="F12" s="9">
        <v>0</v>
      </c>
      <c r="L12" s="9" t="s">
        <v>36</v>
      </c>
      <c r="M12" s="9">
        <v>61.924999999999997</v>
      </c>
      <c r="N12" s="9">
        <v>86.188000000000002</v>
      </c>
      <c r="O12" s="9">
        <f>61.925 / 2 + 0.15 / 2 - 20</f>
        <v>11.037499999999998</v>
      </c>
      <c r="P12" s="9">
        <v>0</v>
      </c>
      <c r="R12" s="9" t="s">
        <v>8</v>
      </c>
      <c r="S12" s="9">
        <v>18.5</v>
      </c>
    </row>
    <row r="13" spans="1:23" s="1" customFormat="1" x14ac:dyDescent="0.2">
      <c r="A13" s="37"/>
      <c r="B13" s="37"/>
      <c r="C13" s="37"/>
      <c r="D13" s="37"/>
      <c r="E13" s="37"/>
      <c r="F13" s="37"/>
      <c r="L13" s="37"/>
      <c r="M13" s="37"/>
      <c r="N13" s="37"/>
      <c r="O13" s="37"/>
      <c r="P13" s="37"/>
      <c r="R13" s="37"/>
      <c r="S13" s="37"/>
    </row>
    <row r="14" spans="1:23" s="1" customFormat="1" x14ac:dyDescent="0.2">
      <c r="A14" s="14" t="s">
        <v>65</v>
      </c>
      <c r="B14" s="14"/>
      <c r="C14" s="14"/>
      <c r="D14" s="14"/>
      <c r="E14" s="14"/>
      <c r="F14" s="14"/>
      <c r="L14" s="37"/>
      <c r="M14" s="37"/>
      <c r="N14" s="37"/>
      <c r="O14" s="37"/>
      <c r="P14" s="37"/>
      <c r="R14" s="37"/>
      <c r="S14" s="37"/>
    </row>
    <row r="15" spans="1:23" s="1" customFormat="1" x14ac:dyDescent="0.2">
      <c r="A15" s="1" t="s">
        <v>100</v>
      </c>
      <c r="B15" s="15" t="s">
        <v>66</v>
      </c>
      <c r="C15" s="15" t="s">
        <v>67</v>
      </c>
      <c r="D15" s="15" t="s">
        <v>68</v>
      </c>
      <c r="E15" s="15" t="s">
        <v>69</v>
      </c>
      <c r="F15" s="15" t="s">
        <v>70</v>
      </c>
      <c r="G15" s="15" t="s">
        <v>71</v>
      </c>
      <c r="I15" s="1" t="s">
        <v>100</v>
      </c>
      <c r="J15" s="15" t="s">
        <v>66</v>
      </c>
      <c r="K15" s="15" t="s">
        <v>67</v>
      </c>
      <c r="L15" s="15" t="s">
        <v>68</v>
      </c>
      <c r="M15" s="15" t="s">
        <v>69</v>
      </c>
      <c r="N15" s="15" t="s">
        <v>70</v>
      </c>
      <c r="O15" s="15" t="s">
        <v>71</v>
      </c>
      <c r="P15" s="37"/>
      <c r="Q15" s="42" t="s">
        <v>100</v>
      </c>
      <c r="R15" s="38" t="s">
        <v>66</v>
      </c>
      <c r="S15" s="39" t="s">
        <v>67</v>
      </c>
      <c r="T15" s="39" t="s">
        <v>68</v>
      </c>
      <c r="U15" s="39" t="s">
        <v>69</v>
      </c>
      <c r="V15" s="39" t="s">
        <v>70</v>
      </c>
      <c r="W15" s="39" t="s">
        <v>71</v>
      </c>
    </row>
    <row r="16" spans="1:23" s="1" customFormat="1" x14ac:dyDescent="0.2">
      <c r="A16" s="1" t="s">
        <v>92</v>
      </c>
      <c r="B16" s="5"/>
      <c r="C16" s="5"/>
      <c r="D16" s="5"/>
      <c r="E16" s="5"/>
      <c r="F16" s="5"/>
      <c r="G16" s="5"/>
      <c r="I16" s="1" t="s">
        <v>93</v>
      </c>
      <c r="J16" s="5"/>
      <c r="K16" s="5"/>
      <c r="L16" s="5"/>
      <c r="M16" s="5"/>
      <c r="N16" s="5"/>
      <c r="O16" s="5"/>
      <c r="P16" s="37"/>
      <c r="Q16" s="42" t="s">
        <v>94</v>
      </c>
      <c r="R16" s="40"/>
      <c r="S16" s="41"/>
      <c r="T16" s="41"/>
      <c r="U16" s="41"/>
      <c r="V16" s="41"/>
      <c r="W16" s="41"/>
    </row>
    <row r="18" spans="1:23" s="12" customFormat="1" ht="21" x14ac:dyDescent="0.25">
      <c r="A18" s="44" t="s">
        <v>60</v>
      </c>
      <c r="B18" s="44"/>
    </row>
    <row r="19" spans="1:23" s="26" customFormat="1" x14ac:dyDescent="0.2">
      <c r="A19" s="26" t="s">
        <v>10</v>
      </c>
    </row>
    <row r="20" spans="1:23" x14ac:dyDescent="0.2">
      <c r="A20" s="7" t="s">
        <v>9</v>
      </c>
      <c r="B20" s="9" t="s">
        <v>16</v>
      </c>
      <c r="C20" s="9" t="s">
        <v>33</v>
      </c>
      <c r="D20" s="9" t="s">
        <v>15</v>
      </c>
      <c r="E20" s="9" t="s">
        <v>48</v>
      </c>
    </row>
    <row r="21" spans="1:23" x14ac:dyDescent="0.2">
      <c r="A21" s="16" t="s">
        <v>3</v>
      </c>
      <c r="B21" s="9">
        <v>516.83100000000002</v>
      </c>
      <c r="C21" s="9">
        <v>-13.975</v>
      </c>
      <c r="D21" s="9">
        <v>-13.225</v>
      </c>
      <c r="E21" s="9">
        <v>-0.36599999999999999</v>
      </c>
    </row>
    <row r="22" spans="1:23" s="31" customFormat="1" x14ac:dyDescent="0.2"/>
    <row r="23" spans="1:23" s="26" customFormat="1" x14ac:dyDescent="0.2">
      <c r="A23" s="26" t="s">
        <v>12</v>
      </c>
    </row>
    <row r="24" spans="1:23" x14ac:dyDescent="0.2">
      <c r="A24" s="7" t="s">
        <v>7</v>
      </c>
      <c r="B24" s="9" t="s">
        <v>34</v>
      </c>
      <c r="C24" s="9" t="s">
        <v>35</v>
      </c>
      <c r="D24" s="9" t="s">
        <v>33</v>
      </c>
      <c r="E24" s="9" t="s">
        <v>15</v>
      </c>
    </row>
    <row r="25" spans="1:23" x14ac:dyDescent="0.2">
      <c r="A25" s="9" t="s">
        <v>36</v>
      </c>
      <c r="B25" s="9">
        <v>21.925000000000001</v>
      </c>
      <c r="C25" s="9">
        <v>46.188000000000002</v>
      </c>
      <c r="D25" s="9">
        <v>11.0375</v>
      </c>
      <c r="E25" s="9">
        <v>0</v>
      </c>
    </row>
    <row r="26" spans="1:23" s="31" customFormat="1" x14ac:dyDescent="0.2"/>
    <row r="27" spans="1:23" s="26" customFormat="1" x14ac:dyDescent="0.2">
      <c r="A27" s="26" t="s">
        <v>13</v>
      </c>
    </row>
    <row r="28" spans="1:23" x14ac:dyDescent="0.2">
      <c r="A28" s="7" t="s">
        <v>7</v>
      </c>
      <c r="B28" s="9" t="s">
        <v>89</v>
      </c>
      <c r="C28" s="11" t="s">
        <v>38</v>
      </c>
      <c r="D28" s="9" t="s">
        <v>39</v>
      </c>
      <c r="F28" s="13"/>
      <c r="H28" s="13"/>
      <c r="I28" s="13"/>
      <c r="J28" s="13"/>
      <c r="K28" s="13"/>
      <c r="L28" s="9" t="s">
        <v>7</v>
      </c>
      <c r="M28" s="9" t="s">
        <v>34</v>
      </c>
      <c r="N28" s="9" t="s">
        <v>35</v>
      </c>
      <c r="O28" s="9" t="s">
        <v>33</v>
      </c>
      <c r="P28" s="9" t="s">
        <v>52</v>
      </c>
      <c r="R28" s="7" t="s">
        <v>7</v>
      </c>
      <c r="S28" s="9" t="s">
        <v>89</v>
      </c>
    </row>
    <row r="29" spans="1:23" s="1" customFormat="1" x14ac:dyDescent="0.2">
      <c r="A29" s="9" t="s">
        <v>40</v>
      </c>
      <c r="B29" s="9">
        <v>18.5</v>
      </c>
      <c r="C29" s="11">
        <v>-90</v>
      </c>
      <c r="D29" s="9">
        <v>90</v>
      </c>
      <c r="E29"/>
      <c r="F29"/>
      <c r="L29" s="9" t="s">
        <v>36</v>
      </c>
      <c r="M29" s="9">
        <v>61.924999999999997</v>
      </c>
      <c r="N29" s="9">
        <v>86.188000000000002</v>
      </c>
      <c r="O29" s="9">
        <f>61.925 / 2 + 0.15 / 2 - 20</f>
        <v>11.037499999999998</v>
      </c>
      <c r="P29" s="9">
        <v>0</v>
      </c>
      <c r="R29" s="9" t="s">
        <v>8</v>
      </c>
      <c r="S29" s="9">
        <v>18.5</v>
      </c>
    </row>
    <row r="30" spans="1:23" s="1" customFormat="1" x14ac:dyDescent="0.2">
      <c r="A30" s="37"/>
      <c r="B30" s="37"/>
      <c r="C30" s="37"/>
      <c r="D30" s="37"/>
      <c r="E30"/>
      <c r="F30"/>
      <c r="L30" s="37"/>
      <c r="M30" s="37"/>
      <c r="N30" s="37"/>
      <c r="O30" s="37"/>
      <c r="P30" s="37"/>
      <c r="R30" s="37"/>
      <c r="S30" s="37"/>
    </row>
    <row r="31" spans="1:23" s="1" customFormat="1" x14ac:dyDescent="0.2">
      <c r="A31" s="14" t="s">
        <v>65</v>
      </c>
      <c r="B31" s="14"/>
      <c r="C31" s="14"/>
      <c r="D31" s="14"/>
      <c r="E31" s="14"/>
      <c r="F31" s="14"/>
      <c r="L31" s="37"/>
      <c r="M31" s="37"/>
      <c r="N31" s="37"/>
      <c r="O31" s="37"/>
      <c r="P31" s="37"/>
      <c r="R31" s="37"/>
      <c r="S31" s="37"/>
    </row>
    <row r="32" spans="1:23" s="1" customFormat="1" x14ac:dyDescent="0.2">
      <c r="A32" s="1" t="s">
        <v>100</v>
      </c>
      <c r="B32" s="15" t="s">
        <v>66</v>
      </c>
      <c r="C32" s="15" t="s">
        <v>67</v>
      </c>
      <c r="D32" s="15" t="s">
        <v>68</v>
      </c>
      <c r="E32" s="15" t="s">
        <v>69</v>
      </c>
      <c r="F32" s="15" t="s">
        <v>70</v>
      </c>
      <c r="G32" s="15" t="s">
        <v>71</v>
      </c>
      <c r="I32" s="1" t="s">
        <v>100</v>
      </c>
      <c r="J32" s="15" t="s">
        <v>66</v>
      </c>
      <c r="K32" s="15" t="s">
        <v>67</v>
      </c>
      <c r="L32" s="15" t="s">
        <v>68</v>
      </c>
      <c r="M32" s="15" t="s">
        <v>69</v>
      </c>
      <c r="N32" s="15" t="s">
        <v>70</v>
      </c>
      <c r="O32" s="15" t="s">
        <v>71</v>
      </c>
      <c r="P32" s="37"/>
      <c r="Q32" s="42" t="s">
        <v>100</v>
      </c>
      <c r="R32" s="38" t="s">
        <v>66</v>
      </c>
      <c r="S32" s="39" t="s">
        <v>67</v>
      </c>
      <c r="T32" s="39" t="s">
        <v>68</v>
      </c>
      <c r="U32" s="39" t="s">
        <v>69</v>
      </c>
      <c r="V32" s="39" t="s">
        <v>70</v>
      </c>
      <c r="W32" s="39" t="s">
        <v>71</v>
      </c>
    </row>
    <row r="33" spans="1:23" s="1" customFormat="1" x14ac:dyDescent="0.2">
      <c r="A33" s="1" t="s">
        <v>92</v>
      </c>
      <c r="B33" s="5"/>
      <c r="C33" s="5"/>
      <c r="D33" s="5"/>
      <c r="E33" s="5"/>
      <c r="F33" s="5"/>
      <c r="G33" s="5"/>
      <c r="I33" s="1" t="s">
        <v>93</v>
      </c>
      <c r="J33" s="5"/>
      <c r="K33" s="5"/>
      <c r="L33" s="5"/>
      <c r="M33" s="5"/>
      <c r="N33" s="5"/>
      <c r="O33" s="5"/>
      <c r="P33" s="37"/>
      <c r="Q33" s="42" t="s">
        <v>94</v>
      </c>
      <c r="R33" s="40"/>
      <c r="S33" s="41"/>
      <c r="T33" s="41"/>
      <c r="U33" s="41"/>
      <c r="V33" s="41"/>
      <c r="W33" s="41"/>
    </row>
    <row r="35" spans="1:23" ht="21" x14ac:dyDescent="0.25">
      <c r="A35" s="43" t="s">
        <v>56</v>
      </c>
    </row>
    <row r="36" spans="1:23" s="26" customFormat="1" x14ac:dyDescent="0.2">
      <c r="A36" s="26" t="s">
        <v>10</v>
      </c>
    </row>
    <row r="37" spans="1:23" ht="17" x14ac:dyDescent="0.2">
      <c r="A37" s="9" t="s">
        <v>9</v>
      </c>
      <c r="B37" s="9" t="s">
        <v>53</v>
      </c>
      <c r="C37" s="9" t="s">
        <v>64</v>
      </c>
      <c r="D37" s="9" t="s">
        <v>54</v>
      </c>
      <c r="E37" s="9" t="s">
        <v>33</v>
      </c>
      <c r="F37" s="9" t="s">
        <v>15</v>
      </c>
      <c r="G37" s="9" t="s">
        <v>48</v>
      </c>
      <c r="H37" s="9" t="s">
        <v>49</v>
      </c>
      <c r="I37" s="9" t="s">
        <v>50</v>
      </c>
      <c r="J37" s="9" t="s">
        <v>51</v>
      </c>
    </row>
    <row r="38" spans="1:23" x14ac:dyDescent="0.2">
      <c r="A38" s="9" t="s">
        <v>31</v>
      </c>
      <c r="B38" s="9">
        <f>1 / 1008.9554166</f>
        <v>9.9112407104153498E-4</v>
      </c>
      <c r="C38" s="9">
        <f>1 / 1010.2811818</f>
        <v>9.8982344520989469E-4</v>
      </c>
      <c r="D38" s="9">
        <v>1933.255026</v>
      </c>
      <c r="E38" s="9">
        <v>0</v>
      </c>
      <c r="F38" s="9">
        <v>2.0386372000000001</v>
      </c>
      <c r="G38" s="9">
        <v>0</v>
      </c>
      <c r="H38" s="9">
        <v>0.34649799999999997</v>
      </c>
      <c r="I38" s="9">
        <v>0.77334219999999998</v>
      </c>
      <c r="J38" s="9">
        <v>0</v>
      </c>
    </row>
    <row r="40" spans="1:23" s="26" customFormat="1" x14ac:dyDescent="0.2">
      <c r="A40" s="26" t="s">
        <v>12</v>
      </c>
    </row>
    <row r="41" spans="1:23" x14ac:dyDescent="0.2">
      <c r="A41" s="7" t="s">
        <v>7</v>
      </c>
      <c r="B41" s="9" t="s">
        <v>34</v>
      </c>
      <c r="C41" s="9" t="s">
        <v>35</v>
      </c>
      <c r="D41" s="9" t="s">
        <v>33</v>
      </c>
      <c r="E41" s="9" t="s">
        <v>15</v>
      </c>
    </row>
    <row r="42" spans="1:23" x14ac:dyDescent="0.2">
      <c r="A42" s="9" t="s">
        <v>36</v>
      </c>
      <c r="B42" s="9">
        <v>21.925000000000001</v>
      </c>
      <c r="C42" s="9">
        <v>46.188000000000002</v>
      </c>
      <c r="D42" s="9">
        <v>-11.0375</v>
      </c>
      <c r="E42" s="9">
        <v>0</v>
      </c>
    </row>
    <row r="44" spans="1:23" s="26" customFormat="1" x14ac:dyDescent="0.2">
      <c r="A44" s="26" t="s">
        <v>13</v>
      </c>
    </row>
    <row r="45" spans="1:23" x14ac:dyDescent="0.2">
      <c r="A45" s="7" t="s">
        <v>7</v>
      </c>
      <c r="B45" s="9" t="s">
        <v>89</v>
      </c>
      <c r="C45" s="9" t="s">
        <v>38</v>
      </c>
      <c r="D45" s="9" t="s">
        <v>39</v>
      </c>
      <c r="E45" s="9" t="s">
        <v>90</v>
      </c>
      <c r="F45" s="7" t="s">
        <v>91</v>
      </c>
      <c r="H45" s="13"/>
      <c r="L45" s="9" t="s">
        <v>7</v>
      </c>
      <c r="M45" s="9" t="s">
        <v>34</v>
      </c>
      <c r="N45" s="9" t="s">
        <v>35</v>
      </c>
      <c r="O45" s="9" t="s">
        <v>33</v>
      </c>
      <c r="P45" s="9" t="s">
        <v>52</v>
      </c>
      <c r="R45" s="7" t="s">
        <v>7</v>
      </c>
      <c r="S45" s="9" t="s">
        <v>89</v>
      </c>
    </row>
    <row r="46" spans="1:23" s="1" customFormat="1" x14ac:dyDescent="0.2">
      <c r="A46" s="9" t="s">
        <v>40</v>
      </c>
      <c r="B46" s="9">
        <v>18.5</v>
      </c>
      <c r="C46" s="9">
        <v>90</v>
      </c>
      <c r="D46" s="9">
        <v>-90</v>
      </c>
      <c r="E46" s="9">
        <v>0</v>
      </c>
      <c r="F46" s="9">
        <v>0</v>
      </c>
      <c r="L46" s="9" t="s">
        <v>36</v>
      </c>
      <c r="M46" s="9">
        <v>61.924999999999997</v>
      </c>
      <c r="N46" s="9">
        <v>86.188000000000002</v>
      </c>
      <c r="O46" s="9">
        <f>61.925 / 2 + 0.15 / 2 - 20</f>
        <v>11.037499999999998</v>
      </c>
      <c r="P46" s="9">
        <v>0</v>
      </c>
      <c r="R46" s="9" t="s">
        <v>8</v>
      </c>
      <c r="S46" s="9">
        <v>18.5</v>
      </c>
    </row>
    <row r="48" spans="1:23" x14ac:dyDescent="0.2">
      <c r="A48" s="14" t="s">
        <v>65</v>
      </c>
      <c r="B48" s="14"/>
      <c r="C48" s="14"/>
      <c r="D48" s="14"/>
      <c r="E48" s="14"/>
      <c r="F48" s="14"/>
      <c r="G48" s="1"/>
      <c r="H48" s="1"/>
      <c r="I48" s="1"/>
      <c r="J48" s="1"/>
      <c r="K48" s="1"/>
      <c r="L48" s="37"/>
      <c r="M48" s="37"/>
      <c r="N48" s="37"/>
      <c r="O48" s="37"/>
      <c r="P48" s="37"/>
      <c r="Q48" s="1"/>
      <c r="R48" s="37"/>
      <c r="S48" s="37"/>
      <c r="T48" s="1"/>
      <c r="U48" s="1"/>
      <c r="V48" s="1"/>
      <c r="W48" s="1"/>
    </row>
    <row r="49" spans="1:23" x14ac:dyDescent="0.2">
      <c r="A49" s="1" t="s">
        <v>100</v>
      </c>
      <c r="B49" s="15" t="s">
        <v>66</v>
      </c>
      <c r="C49" s="15" t="s">
        <v>67</v>
      </c>
      <c r="D49" s="15" t="s">
        <v>68</v>
      </c>
      <c r="E49" s="15" t="s">
        <v>69</v>
      </c>
      <c r="F49" s="15" t="s">
        <v>70</v>
      </c>
      <c r="G49" s="15" t="s">
        <v>71</v>
      </c>
      <c r="H49" s="1"/>
      <c r="I49" s="1" t="s">
        <v>100</v>
      </c>
      <c r="J49" s="15" t="s">
        <v>66</v>
      </c>
      <c r="K49" s="15" t="s">
        <v>67</v>
      </c>
      <c r="L49" s="15" t="s">
        <v>68</v>
      </c>
      <c r="M49" s="15" t="s">
        <v>69</v>
      </c>
      <c r="N49" s="15" t="s">
        <v>70</v>
      </c>
      <c r="O49" s="15" t="s">
        <v>71</v>
      </c>
      <c r="P49" s="37"/>
      <c r="Q49" s="42" t="s">
        <v>100</v>
      </c>
      <c r="R49" s="38" t="s">
        <v>66</v>
      </c>
      <c r="S49" s="39" t="s">
        <v>67</v>
      </c>
      <c r="T49" s="39" t="s">
        <v>68</v>
      </c>
      <c r="U49" s="39" t="s">
        <v>69</v>
      </c>
      <c r="V49" s="39" t="s">
        <v>70</v>
      </c>
      <c r="W49" s="39" t="s">
        <v>71</v>
      </c>
    </row>
    <row r="50" spans="1:23" x14ac:dyDescent="0.2">
      <c r="A50" s="1" t="s">
        <v>92</v>
      </c>
      <c r="B50" s="5"/>
      <c r="C50" s="5"/>
      <c r="D50" s="5"/>
      <c r="E50" s="5"/>
      <c r="F50" s="5"/>
      <c r="G50" s="5"/>
      <c r="H50" s="1"/>
      <c r="I50" s="1" t="s">
        <v>93</v>
      </c>
      <c r="J50" s="5"/>
      <c r="K50" s="5"/>
      <c r="L50" s="5"/>
      <c r="M50" s="5"/>
      <c r="N50" s="5"/>
      <c r="O50" s="5"/>
      <c r="P50" s="37"/>
      <c r="Q50" s="42" t="s">
        <v>94</v>
      </c>
      <c r="R50" s="40"/>
      <c r="S50" s="41"/>
      <c r="T50" s="41"/>
      <c r="U50" s="41"/>
      <c r="V50" s="41"/>
      <c r="W50" s="41"/>
    </row>
    <row r="52" spans="1:23" ht="21" x14ac:dyDescent="0.25">
      <c r="A52" s="43" t="s">
        <v>57</v>
      </c>
    </row>
    <row r="53" spans="1:23" s="26" customFormat="1" x14ac:dyDescent="0.2">
      <c r="A53" s="26" t="s">
        <v>10</v>
      </c>
    </row>
    <row r="54" spans="1:23" ht="17" x14ac:dyDescent="0.2">
      <c r="A54" s="9" t="s">
        <v>9</v>
      </c>
      <c r="B54" s="9" t="s">
        <v>53</v>
      </c>
      <c r="C54" s="9" t="s">
        <v>64</v>
      </c>
      <c r="D54" s="9" t="s">
        <v>54</v>
      </c>
      <c r="E54" s="9" t="s">
        <v>33</v>
      </c>
      <c r="F54" s="9" t="s">
        <v>15</v>
      </c>
      <c r="G54" s="9" t="s">
        <v>48</v>
      </c>
      <c r="H54" s="9" t="s">
        <v>49</v>
      </c>
      <c r="I54" s="9" t="s">
        <v>50</v>
      </c>
      <c r="J54" s="9" t="s">
        <v>51</v>
      </c>
    </row>
    <row r="55" spans="1:23" x14ac:dyDescent="0.2">
      <c r="A55" s="9" t="s">
        <v>2</v>
      </c>
      <c r="B55" s="9"/>
      <c r="C55" s="9"/>
      <c r="D55" s="9"/>
      <c r="E55" s="9"/>
      <c r="F55" s="9"/>
      <c r="G55" s="9"/>
      <c r="H55" s="9"/>
      <c r="I55" s="9"/>
      <c r="J55" s="9"/>
    </row>
    <row r="57" spans="1:23" s="26" customFormat="1" x14ac:dyDescent="0.2">
      <c r="A57" s="26" t="s">
        <v>12</v>
      </c>
    </row>
    <row r="58" spans="1:23" x14ac:dyDescent="0.2">
      <c r="A58" s="7" t="s">
        <v>7</v>
      </c>
      <c r="B58" s="9" t="s">
        <v>34</v>
      </c>
      <c r="C58" s="9" t="s">
        <v>35</v>
      </c>
      <c r="D58" s="9" t="s">
        <v>33</v>
      </c>
      <c r="E58" s="9" t="s">
        <v>15</v>
      </c>
    </row>
    <row r="59" spans="1:23" x14ac:dyDescent="0.2">
      <c r="A59" s="9" t="s">
        <v>36</v>
      </c>
      <c r="B59" s="9">
        <v>21.925000000000001</v>
      </c>
      <c r="C59" s="9">
        <v>46.188000000000002</v>
      </c>
      <c r="D59" s="9">
        <v>11.0375</v>
      </c>
      <c r="E59" s="9">
        <v>0</v>
      </c>
    </row>
    <row r="61" spans="1:23" s="26" customFormat="1" x14ac:dyDescent="0.2">
      <c r="A61" s="26" t="s">
        <v>13</v>
      </c>
    </row>
    <row r="62" spans="1:23" x14ac:dyDescent="0.2">
      <c r="A62" s="7" t="s">
        <v>7</v>
      </c>
      <c r="B62" s="9" t="s">
        <v>89</v>
      </c>
      <c r="C62" s="9" t="s">
        <v>38</v>
      </c>
      <c r="D62" s="9" t="s">
        <v>39</v>
      </c>
      <c r="E62" s="9" t="s">
        <v>90</v>
      </c>
      <c r="F62" s="7" t="s">
        <v>91</v>
      </c>
      <c r="H62" s="13"/>
      <c r="L62" s="9" t="s">
        <v>7</v>
      </c>
      <c r="M62" s="9" t="s">
        <v>34</v>
      </c>
      <c r="N62" s="9" t="s">
        <v>35</v>
      </c>
      <c r="O62" s="9" t="s">
        <v>33</v>
      </c>
      <c r="P62" s="9" t="s">
        <v>52</v>
      </c>
      <c r="R62" s="7" t="s">
        <v>7</v>
      </c>
      <c r="S62" s="9" t="s">
        <v>89</v>
      </c>
    </row>
    <row r="63" spans="1:23" s="1" customFormat="1" x14ac:dyDescent="0.2">
      <c r="A63" s="9" t="s">
        <v>40</v>
      </c>
      <c r="B63" s="9">
        <v>18.5</v>
      </c>
      <c r="C63" s="9">
        <v>-90</v>
      </c>
      <c r="D63" s="9">
        <v>90</v>
      </c>
      <c r="E63" s="9">
        <v>0</v>
      </c>
      <c r="F63" s="9">
        <v>0</v>
      </c>
      <c r="L63" s="9" t="s">
        <v>36</v>
      </c>
      <c r="M63" s="9">
        <v>61.924999999999997</v>
      </c>
      <c r="N63" s="9">
        <v>86.188000000000002</v>
      </c>
      <c r="O63" s="9">
        <f>61.925 / 2 + 0.15 / 2 - 20</f>
        <v>11.037499999999998</v>
      </c>
      <c r="P63" s="9">
        <v>0</v>
      </c>
      <c r="R63" s="9" t="s">
        <v>8</v>
      </c>
      <c r="S63" s="9">
        <v>18.5</v>
      </c>
    </row>
    <row r="65" spans="1:23" x14ac:dyDescent="0.2">
      <c r="A65" s="14" t="s">
        <v>65</v>
      </c>
      <c r="B65" s="14"/>
      <c r="C65" s="14"/>
      <c r="D65" s="14"/>
      <c r="E65" s="14"/>
      <c r="F65" s="14"/>
      <c r="G65" s="1"/>
      <c r="H65" s="1"/>
      <c r="I65" s="1"/>
      <c r="J65" s="1"/>
      <c r="K65" s="1"/>
      <c r="L65" s="37"/>
      <c r="M65" s="37"/>
      <c r="N65" s="37"/>
      <c r="O65" s="37"/>
      <c r="P65" s="37"/>
      <c r="Q65" s="1"/>
      <c r="R65" s="37"/>
      <c r="S65" s="37"/>
      <c r="T65" s="1"/>
      <c r="U65" s="1"/>
      <c r="V65" s="1"/>
      <c r="W65" s="1"/>
    </row>
    <row r="66" spans="1:23" x14ac:dyDescent="0.2">
      <c r="A66" s="1" t="s">
        <v>100</v>
      </c>
      <c r="B66" s="15" t="s">
        <v>66</v>
      </c>
      <c r="C66" s="15" t="s">
        <v>67</v>
      </c>
      <c r="D66" s="15" t="s">
        <v>68</v>
      </c>
      <c r="E66" s="15" t="s">
        <v>69</v>
      </c>
      <c r="F66" s="15" t="s">
        <v>70</v>
      </c>
      <c r="G66" s="15" t="s">
        <v>71</v>
      </c>
      <c r="H66" s="1"/>
      <c r="I66" s="1" t="s">
        <v>100</v>
      </c>
      <c r="J66" s="15" t="s">
        <v>66</v>
      </c>
      <c r="K66" s="15" t="s">
        <v>67</v>
      </c>
      <c r="L66" s="15" t="s">
        <v>68</v>
      </c>
      <c r="M66" s="15" t="s">
        <v>69</v>
      </c>
      <c r="N66" s="15" t="s">
        <v>70</v>
      </c>
      <c r="O66" s="15" t="s">
        <v>71</v>
      </c>
      <c r="P66" s="37"/>
      <c r="Q66" s="42" t="s">
        <v>100</v>
      </c>
      <c r="R66" s="38" t="s">
        <v>66</v>
      </c>
      <c r="S66" s="39" t="s">
        <v>67</v>
      </c>
      <c r="T66" s="39" t="s">
        <v>68</v>
      </c>
      <c r="U66" s="39" t="s">
        <v>69</v>
      </c>
      <c r="V66" s="39" t="s">
        <v>70</v>
      </c>
      <c r="W66" s="39" t="s">
        <v>71</v>
      </c>
    </row>
    <row r="67" spans="1:23" x14ac:dyDescent="0.2">
      <c r="A67" s="1" t="s">
        <v>92</v>
      </c>
      <c r="B67" s="5"/>
      <c r="C67" s="5"/>
      <c r="D67" s="5"/>
      <c r="E67" s="5"/>
      <c r="F67" s="5"/>
      <c r="G67" s="5"/>
      <c r="H67" s="1"/>
      <c r="I67" s="1" t="s">
        <v>93</v>
      </c>
      <c r="J67" s="5"/>
      <c r="K67" s="5"/>
      <c r="L67" s="5"/>
      <c r="M67" s="5"/>
      <c r="N67" s="5"/>
      <c r="O67" s="5"/>
      <c r="P67" s="37"/>
      <c r="Q67" s="42" t="s">
        <v>94</v>
      </c>
      <c r="R67" s="40"/>
      <c r="S67" s="41"/>
      <c r="T67" s="41"/>
      <c r="U67" s="41"/>
      <c r="V67" s="41"/>
      <c r="W67" s="41"/>
    </row>
    <row r="69" spans="1:23" ht="21" x14ac:dyDescent="0.25">
      <c r="A69" s="43" t="s">
        <v>58</v>
      </c>
    </row>
    <row r="70" spans="1:23" s="26" customFormat="1" x14ac:dyDescent="0.2">
      <c r="A70" s="26" t="s">
        <v>10</v>
      </c>
    </row>
    <row r="71" spans="1:23" ht="17" x14ac:dyDescent="0.2">
      <c r="A71" s="46" t="s">
        <v>9</v>
      </c>
      <c r="B71" s="46" t="s">
        <v>53</v>
      </c>
      <c r="C71" s="46" t="s">
        <v>64</v>
      </c>
      <c r="D71" s="46" t="s">
        <v>54</v>
      </c>
      <c r="E71" s="46" t="s">
        <v>33</v>
      </c>
      <c r="F71" s="46" t="s">
        <v>15</v>
      </c>
      <c r="G71" s="46" t="s">
        <v>48</v>
      </c>
      <c r="H71" s="46" t="s">
        <v>49</v>
      </c>
      <c r="I71" s="46" t="s">
        <v>50</v>
      </c>
      <c r="J71" s="46" t="s">
        <v>51</v>
      </c>
    </row>
    <row r="72" spans="1:23" x14ac:dyDescent="0.2">
      <c r="A72" s="46" t="s">
        <v>31</v>
      </c>
      <c r="B72" s="46">
        <f>1 / 1008.9554166</f>
        <v>9.9112407104153498E-4</v>
      </c>
      <c r="C72" s="46">
        <f>1 / 1010.2811818</f>
        <v>9.8982344520989469E-4</v>
      </c>
      <c r="D72" s="46">
        <v>1933.255026</v>
      </c>
      <c r="E72" s="46">
        <v>0</v>
      </c>
      <c r="F72" s="46">
        <v>2.0386372000000001</v>
      </c>
      <c r="G72" s="46">
        <v>0</v>
      </c>
      <c r="H72" s="46">
        <v>0.34649799999999997</v>
      </c>
      <c r="I72" s="46">
        <v>0.77334219999999998</v>
      </c>
      <c r="J72" s="46">
        <v>0</v>
      </c>
    </row>
    <row r="74" spans="1:23" s="26" customFormat="1" x14ac:dyDescent="0.2">
      <c r="A74" s="26" t="s">
        <v>12</v>
      </c>
    </row>
    <row r="75" spans="1:23" x14ac:dyDescent="0.2">
      <c r="A75" s="47" t="s">
        <v>7</v>
      </c>
      <c r="B75" s="46" t="s">
        <v>34</v>
      </c>
      <c r="C75" s="46" t="s">
        <v>35</v>
      </c>
      <c r="D75" s="46" t="s">
        <v>33</v>
      </c>
      <c r="E75" s="46" t="s">
        <v>15</v>
      </c>
    </row>
    <row r="76" spans="1:23" x14ac:dyDescent="0.2">
      <c r="A76" s="46" t="s">
        <v>36</v>
      </c>
      <c r="B76" s="46">
        <v>61.924999999999997</v>
      </c>
      <c r="C76" s="46">
        <v>86.188000000000002</v>
      </c>
      <c r="D76" s="46">
        <f>-61.925 / 2 - 0.15 / 2 + 20</f>
        <v>-11.037499999999998</v>
      </c>
      <c r="E76" s="46">
        <v>0</v>
      </c>
    </row>
    <row r="78" spans="1:23" s="26" customFormat="1" x14ac:dyDescent="0.2">
      <c r="A78" s="26" t="s">
        <v>13</v>
      </c>
    </row>
    <row r="79" spans="1:23" x14ac:dyDescent="0.2">
      <c r="A79" s="47" t="s">
        <v>7</v>
      </c>
      <c r="B79" s="46" t="s">
        <v>89</v>
      </c>
      <c r="C79" s="46" t="s">
        <v>38</v>
      </c>
      <c r="D79" s="46" t="s">
        <v>39</v>
      </c>
      <c r="E79" s="46" t="s">
        <v>90</v>
      </c>
      <c r="F79" s="47" t="s">
        <v>91</v>
      </c>
      <c r="H79" s="13"/>
      <c r="L79" s="46" t="s">
        <v>7</v>
      </c>
      <c r="M79" s="46" t="s">
        <v>34</v>
      </c>
      <c r="N79" s="46" t="s">
        <v>35</v>
      </c>
      <c r="O79" s="46" t="s">
        <v>33</v>
      </c>
      <c r="P79" s="46" t="s">
        <v>52</v>
      </c>
      <c r="R79" s="47" t="s">
        <v>7</v>
      </c>
      <c r="S79" s="46" t="s">
        <v>89</v>
      </c>
    </row>
    <row r="80" spans="1:23" s="1" customFormat="1" x14ac:dyDescent="0.2">
      <c r="A80" s="46" t="s">
        <v>40</v>
      </c>
      <c r="B80" s="46">
        <v>18.5</v>
      </c>
      <c r="C80" s="46">
        <v>90</v>
      </c>
      <c r="D80" s="46">
        <v>-90</v>
      </c>
      <c r="E80" s="46">
        <v>0</v>
      </c>
      <c r="F80" s="46">
        <v>0</v>
      </c>
      <c r="L80" s="46" t="s">
        <v>36</v>
      </c>
      <c r="M80" s="46">
        <v>61.924999999999997</v>
      </c>
      <c r="N80" s="46">
        <v>86.188000000000002</v>
      </c>
      <c r="O80" s="46">
        <f>-61.925 / 2 - 0.15 / 2 + 20</f>
        <v>-11.037499999999998</v>
      </c>
      <c r="P80" s="46">
        <v>0</v>
      </c>
      <c r="R80" s="46" t="s">
        <v>8</v>
      </c>
      <c r="S80" s="46">
        <v>18.5</v>
      </c>
    </row>
    <row r="82" spans="1:23" x14ac:dyDescent="0.2">
      <c r="A82" s="14" t="s">
        <v>65</v>
      </c>
      <c r="B82" s="14"/>
      <c r="C82" s="14"/>
      <c r="D82" s="14"/>
      <c r="E82" s="14"/>
      <c r="F82" s="14"/>
      <c r="G82" s="1"/>
      <c r="H82" s="1"/>
      <c r="I82" s="1"/>
      <c r="J82" s="1"/>
      <c r="K82" s="1"/>
      <c r="L82" s="37"/>
      <c r="M82" s="37"/>
      <c r="N82" s="37"/>
      <c r="O82" s="37"/>
      <c r="P82" s="37"/>
      <c r="Q82" s="1"/>
      <c r="R82" s="37"/>
      <c r="S82" s="37"/>
      <c r="T82" s="1"/>
      <c r="U82" s="1"/>
      <c r="V82" s="1"/>
      <c r="W82" s="1"/>
    </row>
    <row r="83" spans="1:23" x14ac:dyDescent="0.2">
      <c r="A83" s="1" t="s">
        <v>100</v>
      </c>
      <c r="B83" s="15" t="s">
        <v>66</v>
      </c>
      <c r="C83" s="15" t="s">
        <v>67</v>
      </c>
      <c r="D83" s="15" t="s">
        <v>68</v>
      </c>
      <c r="E83" s="15" t="s">
        <v>69</v>
      </c>
      <c r="F83" s="15" t="s">
        <v>70</v>
      </c>
      <c r="G83" s="15" t="s">
        <v>71</v>
      </c>
      <c r="H83" s="1"/>
      <c r="I83" s="1" t="s">
        <v>100</v>
      </c>
      <c r="J83" s="15" t="s">
        <v>66</v>
      </c>
      <c r="K83" s="15" t="s">
        <v>67</v>
      </c>
      <c r="L83" s="15" t="s">
        <v>68</v>
      </c>
      <c r="M83" s="15" t="s">
        <v>69</v>
      </c>
      <c r="N83" s="15" t="s">
        <v>70</v>
      </c>
      <c r="O83" s="15" t="s">
        <v>71</v>
      </c>
      <c r="P83" s="37"/>
      <c r="Q83" s="42" t="s">
        <v>100</v>
      </c>
      <c r="R83" s="38" t="s">
        <v>66</v>
      </c>
      <c r="S83" s="39" t="s">
        <v>67</v>
      </c>
      <c r="T83" s="39" t="s">
        <v>68</v>
      </c>
      <c r="U83" s="39" t="s">
        <v>69</v>
      </c>
      <c r="V83" s="39" t="s">
        <v>70</v>
      </c>
      <c r="W83" s="39" t="s">
        <v>71</v>
      </c>
    </row>
    <row r="84" spans="1:23" x14ac:dyDescent="0.2">
      <c r="A84" s="1" t="s">
        <v>92</v>
      </c>
      <c r="B84" s="9">
        <v>-1.4159999999999999</v>
      </c>
      <c r="C84" s="9">
        <v>1.4455</v>
      </c>
      <c r="D84" s="9">
        <f>-61.99+2.004</f>
        <v>-59.986000000000004</v>
      </c>
      <c r="E84" s="9">
        <v>43.207000000000001</v>
      </c>
      <c r="F84" s="9">
        <v>-1.4215</v>
      </c>
      <c r="G84" s="9">
        <f>86.3295-1.3935</f>
        <v>84.935999999999993</v>
      </c>
      <c r="H84" s="1"/>
      <c r="I84" s="1" t="s">
        <v>93</v>
      </c>
      <c r="J84" s="5"/>
      <c r="K84" s="5"/>
      <c r="L84" s="5"/>
      <c r="M84" s="5"/>
      <c r="N84" s="5"/>
      <c r="O84" s="5"/>
      <c r="P84" s="37"/>
      <c r="Q84" s="42" t="s">
        <v>94</v>
      </c>
      <c r="R84" s="40"/>
      <c r="S84" s="41"/>
      <c r="T84" s="41"/>
      <c r="U84" s="41"/>
      <c r="V84" s="41"/>
      <c r="W84" s="41"/>
    </row>
    <row r="86" spans="1:23" ht="21" x14ac:dyDescent="0.25">
      <c r="A86" s="43" t="s">
        <v>59</v>
      </c>
    </row>
    <row r="87" spans="1:23" s="26" customFormat="1" x14ac:dyDescent="0.2">
      <c r="A87" s="26" t="s">
        <v>10</v>
      </c>
    </row>
    <row r="88" spans="1:23" x14ac:dyDescent="0.2">
      <c r="A88" s="46" t="s">
        <v>9</v>
      </c>
      <c r="B88" s="46" t="s">
        <v>16</v>
      </c>
      <c r="C88" s="46" t="s">
        <v>44</v>
      </c>
      <c r="D88" s="46" t="s">
        <v>33</v>
      </c>
      <c r="E88" s="46" t="s">
        <v>15</v>
      </c>
      <c r="F88" s="46" t="s">
        <v>48</v>
      </c>
      <c r="G88" s="46" t="s">
        <v>49</v>
      </c>
      <c r="H88" s="46" t="s">
        <v>50</v>
      </c>
      <c r="I88" s="48" t="s">
        <v>51</v>
      </c>
      <c r="J88" s="45"/>
    </row>
    <row r="89" spans="1:23" x14ac:dyDescent="0.2">
      <c r="A89" s="46" t="s">
        <v>31</v>
      </c>
      <c r="B89" s="46">
        <v>516.02739999999994</v>
      </c>
      <c r="C89" s="46">
        <v>-0.52286999999999995</v>
      </c>
      <c r="D89" s="46">
        <v>31.838092199999998</v>
      </c>
      <c r="E89" s="46">
        <v>15.069077999999999</v>
      </c>
      <c r="F89" s="46">
        <v>2.4463360000000001</v>
      </c>
      <c r="G89" s="46">
        <v>3.1515374999999999</v>
      </c>
      <c r="H89" s="46">
        <v>-5.0875301999999998</v>
      </c>
      <c r="I89" s="48">
        <v>0</v>
      </c>
      <c r="J89" s="45"/>
    </row>
    <row r="91" spans="1:23" s="26" customFormat="1" x14ac:dyDescent="0.2">
      <c r="A91" s="26" t="s">
        <v>12</v>
      </c>
    </row>
    <row r="92" spans="1:23" x14ac:dyDescent="0.2">
      <c r="A92" s="47" t="s">
        <v>7</v>
      </c>
      <c r="B92" s="46" t="s">
        <v>34</v>
      </c>
      <c r="C92" s="46" t="s">
        <v>35</v>
      </c>
      <c r="D92" s="46" t="s">
        <v>33</v>
      </c>
      <c r="E92" s="46" t="s">
        <v>15</v>
      </c>
    </row>
    <row r="93" spans="1:23" x14ac:dyDescent="0.2">
      <c r="A93" s="46" t="s">
        <v>36</v>
      </c>
      <c r="B93" s="46">
        <v>61.924999999999997</v>
      </c>
      <c r="C93" s="46">
        <v>86.188000000000002</v>
      </c>
      <c r="D93" s="46">
        <f>61.925 / 2 + 0.15 / 2 - 20</f>
        <v>11.037499999999998</v>
      </c>
      <c r="E93" s="46">
        <v>0</v>
      </c>
    </row>
    <row r="95" spans="1:23" s="26" customFormat="1" x14ac:dyDescent="0.2">
      <c r="A95" s="26" t="s">
        <v>13</v>
      </c>
    </row>
    <row r="96" spans="1:23" x14ac:dyDescent="0.2">
      <c r="A96" s="47" t="s">
        <v>7</v>
      </c>
      <c r="B96" s="46" t="s">
        <v>89</v>
      </c>
      <c r="C96" s="46" t="s">
        <v>38</v>
      </c>
      <c r="D96" s="46" t="s">
        <v>39</v>
      </c>
      <c r="E96" s="46" t="s">
        <v>90</v>
      </c>
      <c r="F96" s="47" t="s">
        <v>91</v>
      </c>
      <c r="H96" s="13"/>
      <c r="L96" s="46" t="s">
        <v>7</v>
      </c>
      <c r="M96" s="46" t="s">
        <v>34</v>
      </c>
      <c r="N96" s="46" t="s">
        <v>35</v>
      </c>
      <c r="O96" s="46" t="s">
        <v>33</v>
      </c>
      <c r="P96" s="46" t="s">
        <v>52</v>
      </c>
      <c r="R96" s="47" t="s">
        <v>7</v>
      </c>
      <c r="S96" s="46" t="s">
        <v>89</v>
      </c>
    </row>
    <row r="97" spans="1:23" s="1" customFormat="1" x14ac:dyDescent="0.2">
      <c r="A97" s="46" t="s">
        <v>40</v>
      </c>
      <c r="B97" s="46">
        <v>18.5</v>
      </c>
      <c r="C97" s="46">
        <v>-90</v>
      </c>
      <c r="D97" s="46">
        <v>90</v>
      </c>
      <c r="E97" s="46">
        <v>0</v>
      </c>
      <c r="F97" s="46">
        <v>0</v>
      </c>
      <c r="L97" s="46" t="s">
        <v>36</v>
      </c>
      <c r="M97" s="46">
        <v>61.924999999999997</v>
      </c>
      <c r="N97" s="46">
        <v>86.188000000000002</v>
      </c>
      <c r="O97" s="46">
        <f>61.925 / 2 + 0.15 / 2 - 20</f>
        <v>11.037499999999998</v>
      </c>
      <c r="P97" s="46">
        <v>0</v>
      </c>
      <c r="R97" s="46" t="s">
        <v>8</v>
      </c>
      <c r="S97" s="46">
        <v>18.5</v>
      </c>
    </row>
    <row r="99" spans="1:23" x14ac:dyDescent="0.2">
      <c r="A99" s="14" t="s">
        <v>65</v>
      </c>
      <c r="B99" s="14"/>
      <c r="C99" s="14"/>
      <c r="D99" s="14"/>
      <c r="E99" s="14"/>
      <c r="F99" s="14"/>
      <c r="G99" s="1"/>
      <c r="H99" s="1"/>
      <c r="I99" s="1"/>
      <c r="J99" s="1"/>
      <c r="K99" s="1"/>
      <c r="L99" s="37"/>
      <c r="M99" s="37"/>
      <c r="N99" s="37"/>
      <c r="O99" s="37"/>
      <c r="P99" s="37"/>
      <c r="Q99" s="1"/>
      <c r="R99" s="37"/>
      <c r="S99" s="37"/>
      <c r="T99" s="1"/>
      <c r="U99" s="1"/>
      <c r="V99" s="1"/>
      <c r="W99" s="1"/>
    </row>
    <row r="100" spans="1:23" x14ac:dyDescent="0.2">
      <c r="A100" s="1" t="s">
        <v>100</v>
      </c>
      <c r="B100" s="15" t="s">
        <v>66</v>
      </c>
      <c r="C100" s="15" t="s">
        <v>67</v>
      </c>
      <c r="D100" s="15" t="s">
        <v>68</v>
      </c>
      <c r="E100" s="15" t="s">
        <v>69</v>
      </c>
      <c r="F100" s="15" t="s">
        <v>70</v>
      </c>
      <c r="G100" s="15" t="s">
        <v>71</v>
      </c>
      <c r="H100" s="1"/>
      <c r="I100" s="1" t="s">
        <v>100</v>
      </c>
      <c r="J100" s="15" t="s">
        <v>66</v>
      </c>
      <c r="K100" s="15" t="s">
        <v>67</v>
      </c>
      <c r="L100" s="15" t="s">
        <v>68</v>
      </c>
      <c r="M100" s="15" t="s">
        <v>69</v>
      </c>
      <c r="N100" s="15" t="s">
        <v>70</v>
      </c>
      <c r="O100" s="15" t="s">
        <v>71</v>
      </c>
      <c r="P100" s="37"/>
      <c r="Q100" s="42" t="s">
        <v>100</v>
      </c>
      <c r="R100" s="38" t="s">
        <v>66</v>
      </c>
      <c r="S100" s="39" t="s">
        <v>67</v>
      </c>
      <c r="T100" s="39" t="s">
        <v>68</v>
      </c>
      <c r="U100" s="39" t="s">
        <v>69</v>
      </c>
      <c r="V100" s="39" t="s">
        <v>70</v>
      </c>
      <c r="W100" s="39" t="s">
        <v>71</v>
      </c>
    </row>
    <row r="101" spans="1:23" x14ac:dyDescent="0.2">
      <c r="A101" s="1" t="s">
        <v>92</v>
      </c>
      <c r="B101" s="5">
        <v>1.3985000000000001</v>
      </c>
      <c r="C101" s="5">
        <v>1.4245000000000001</v>
      </c>
      <c r="D101" s="5">
        <f>61.9685-1.9985</f>
        <v>59.97</v>
      </c>
      <c r="E101" s="5">
        <v>43.172499999999999</v>
      </c>
      <c r="F101" s="5">
        <v>1.3985000000000001</v>
      </c>
      <c r="G101" s="5">
        <f>86.2975-1.364</f>
        <v>84.933499999999995</v>
      </c>
      <c r="H101" s="1"/>
      <c r="I101" s="1" t="s">
        <v>93</v>
      </c>
      <c r="J101" s="5"/>
      <c r="K101" s="5"/>
      <c r="L101" s="5"/>
      <c r="M101" s="5"/>
      <c r="N101" s="5"/>
      <c r="O101" s="5"/>
      <c r="P101" s="37"/>
      <c r="Q101" s="42" t="s">
        <v>94</v>
      </c>
      <c r="R101" s="40"/>
      <c r="S101" s="41"/>
      <c r="T101" s="41"/>
      <c r="U101" s="41"/>
      <c r="V101" s="41"/>
      <c r="W101" s="41"/>
    </row>
  </sheetData>
  <sheetProtection selectLockedCells="1" selectUnlockedCells="1"/>
  <mergeCells count="24">
    <mergeCell ref="A78:XFD78"/>
    <mergeCell ref="A87:XFD87"/>
    <mergeCell ref="A91:XFD91"/>
    <mergeCell ref="A95:XFD95"/>
    <mergeCell ref="A53:XFD53"/>
    <mergeCell ref="A57:XFD57"/>
    <mergeCell ref="A61:XFD61"/>
    <mergeCell ref="A70:XFD70"/>
    <mergeCell ref="A74:XFD74"/>
    <mergeCell ref="A1:B1"/>
    <mergeCell ref="A18:B18"/>
    <mergeCell ref="A2:XFD2"/>
    <mergeCell ref="A5:XFD5"/>
    <mergeCell ref="A6:XFD6"/>
    <mergeCell ref="A36:XFD36"/>
    <mergeCell ref="A40:XFD40"/>
    <mergeCell ref="A44:XFD44"/>
    <mergeCell ref="A9:XFD9"/>
    <mergeCell ref="A10:XFD10"/>
    <mergeCell ref="A22:XFD22"/>
    <mergeCell ref="A26:XFD26"/>
    <mergeCell ref="A23:XFD23"/>
    <mergeCell ref="A27:XFD27"/>
    <mergeCell ref="A19:XFD19"/>
  </mergeCell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EFA51-2F97-433D-B753-B3D8C1EFBAFD}">
  <sheetPr codeName="Sheet2"/>
  <dimension ref="A1:J52"/>
  <sheetViews>
    <sheetView workbookViewId="0">
      <selection activeCell="B37" sqref="B37:I38"/>
    </sheetView>
  </sheetViews>
  <sheetFormatPr baseColWidth="10" defaultColWidth="8.83203125" defaultRowHeight="15" x14ac:dyDescent="0.2"/>
  <cols>
    <col min="1" max="1" width="20.6640625" bestFit="1" customWidth="1"/>
    <col min="2" max="3" width="12.6640625" bestFit="1" customWidth="1"/>
    <col min="4" max="4" width="13.33203125" bestFit="1" customWidth="1"/>
    <col min="5" max="5" width="10.1640625" bestFit="1" customWidth="1"/>
    <col min="6" max="6" width="9.6640625" bestFit="1" customWidth="1"/>
  </cols>
  <sheetData>
    <row r="1" spans="1:6" x14ac:dyDescent="0.2">
      <c r="A1" s="8" t="s">
        <v>23</v>
      </c>
      <c r="B1" s="8" t="s">
        <v>21</v>
      </c>
      <c r="C1" s="8" t="s">
        <v>1</v>
      </c>
      <c r="D1" s="8" t="s">
        <v>30</v>
      </c>
      <c r="E1" s="8" t="s">
        <v>32</v>
      </c>
      <c r="F1" s="8" t="s">
        <v>5</v>
      </c>
    </row>
    <row r="2" spans="1:6" x14ac:dyDescent="0.2">
      <c r="A2" t="s">
        <v>24</v>
      </c>
      <c r="B2" t="s">
        <v>41</v>
      </c>
      <c r="C2" t="s">
        <v>25</v>
      </c>
      <c r="D2" t="s">
        <v>2</v>
      </c>
      <c r="E2" t="s">
        <v>8</v>
      </c>
      <c r="F2" t="s">
        <v>6</v>
      </c>
    </row>
    <row r="3" spans="1:6" x14ac:dyDescent="0.2">
      <c r="A3" t="s">
        <v>27</v>
      </c>
      <c r="C3" t="s">
        <v>29</v>
      </c>
      <c r="D3" t="s">
        <v>3</v>
      </c>
      <c r="E3" t="s">
        <v>36</v>
      </c>
      <c r="F3" t="s">
        <v>37</v>
      </c>
    </row>
    <row r="4" spans="1:6" x14ac:dyDescent="0.2">
      <c r="A4" t="s">
        <v>28</v>
      </c>
      <c r="D4" t="s">
        <v>31</v>
      </c>
      <c r="E4" t="s">
        <v>40</v>
      </c>
    </row>
    <row r="6" spans="1:6" s="8" customFormat="1" x14ac:dyDescent="0.2">
      <c r="A6" s="8" t="s">
        <v>55</v>
      </c>
    </row>
    <row r="7" spans="1:6" x14ac:dyDescent="0.2">
      <c r="A7" t="s">
        <v>56</v>
      </c>
      <c r="C7" t="s">
        <v>92</v>
      </c>
    </row>
    <row r="8" spans="1:6" x14ac:dyDescent="0.2">
      <c r="A8" t="s">
        <v>57</v>
      </c>
      <c r="C8" t="s">
        <v>93</v>
      </c>
    </row>
    <row r="9" spans="1:6" x14ac:dyDescent="0.2">
      <c r="A9" t="s">
        <v>58</v>
      </c>
      <c r="C9" t="s">
        <v>94</v>
      </c>
    </row>
    <row r="10" spans="1:6" x14ac:dyDescent="0.2">
      <c r="A10" t="s">
        <v>59</v>
      </c>
      <c r="C10" t="s">
        <v>95</v>
      </c>
    </row>
    <row r="11" spans="1:6" x14ac:dyDescent="0.2">
      <c r="A11" t="s">
        <v>61</v>
      </c>
      <c r="C11" t="s">
        <v>96</v>
      </c>
    </row>
    <row r="12" spans="1:6" x14ac:dyDescent="0.2">
      <c r="A12" t="s">
        <v>60</v>
      </c>
      <c r="C12" t="s">
        <v>97</v>
      </c>
    </row>
    <row r="13" spans="1:6" x14ac:dyDescent="0.2">
      <c r="A13" t="s">
        <v>62</v>
      </c>
      <c r="C13" t="s">
        <v>98</v>
      </c>
    </row>
    <row r="14" spans="1:6" x14ac:dyDescent="0.2">
      <c r="A14" t="s">
        <v>63</v>
      </c>
      <c r="C14" t="s">
        <v>99</v>
      </c>
    </row>
    <row r="16" spans="1:6" s="8" customFormat="1" x14ac:dyDescent="0.2">
      <c r="A16" s="8" t="s">
        <v>43</v>
      </c>
    </row>
    <row r="17" spans="1:10" x14ac:dyDescent="0.2">
      <c r="A17" t="s">
        <v>46</v>
      </c>
    </row>
    <row r="18" spans="1:10" ht="17" x14ac:dyDescent="0.2">
      <c r="A18" s="9" t="s">
        <v>9</v>
      </c>
      <c r="B18" s="9" t="s">
        <v>53</v>
      </c>
      <c r="C18" s="9" t="s">
        <v>64</v>
      </c>
      <c r="D18" s="9" t="s">
        <v>54</v>
      </c>
      <c r="E18" s="9" t="s">
        <v>33</v>
      </c>
      <c r="F18" s="9" t="s">
        <v>15</v>
      </c>
      <c r="G18" s="9" t="s">
        <v>48</v>
      </c>
      <c r="H18" s="9" t="s">
        <v>49</v>
      </c>
      <c r="I18" s="9" t="s">
        <v>50</v>
      </c>
      <c r="J18" s="9" t="s">
        <v>51</v>
      </c>
    </row>
    <row r="19" spans="1:10" x14ac:dyDescent="0.2">
      <c r="A19" s="9" t="s">
        <v>31</v>
      </c>
      <c r="B19" s="9">
        <f>1 / 1008.9554166</f>
        <v>9.9112407104153498E-4</v>
      </c>
      <c r="C19" s="9">
        <f>1 / 1010.2811818</f>
        <v>9.8982344520989469E-4</v>
      </c>
      <c r="D19" s="9">
        <v>1933.255026</v>
      </c>
      <c r="E19" s="9">
        <v>0</v>
      </c>
      <c r="F19" s="9">
        <v>2.0386372000000001</v>
      </c>
      <c r="G19" s="9">
        <v>0</v>
      </c>
      <c r="H19" s="9">
        <v>0.34649799999999997</v>
      </c>
      <c r="I19" s="9">
        <v>0.77334219999999998</v>
      </c>
      <c r="J19" s="9">
        <v>0</v>
      </c>
    </row>
    <row r="21" spans="1:10" x14ac:dyDescent="0.2">
      <c r="A21" s="9" t="s">
        <v>9</v>
      </c>
      <c r="B21" s="9" t="s">
        <v>16</v>
      </c>
      <c r="C21" s="9" t="s">
        <v>33</v>
      </c>
      <c r="D21" s="9" t="s">
        <v>15</v>
      </c>
      <c r="E21" s="9" t="s">
        <v>48</v>
      </c>
    </row>
    <row r="22" spans="1:10" x14ac:dyDescent="0.2">
      <c r="A22" s="9" t="s">
        <v>3</v>
      </c>
      <c r="B22" s="9">
        <v>527.99199999999996</v>
      </c>
      <c r="C22" s="9">
        <v>7.1459999999999999</v>
      </c>
      <c r="D22" s="9">
        <v>-1.1539999999999999</v>
      </c>
      <c r="E22" s="9">
        <v>-5.8000000000000003E-2</v>
      </c>
    </row>
    <row r="24" spans="1:10" x14ac:dyDescent="0.2">
      <c r="A24" t="s">
        <v>45</v>
      </c>
    </row>
    <row r="25" spans="1:10" x14ac:dyDescent="0.2">
      <c r="A25" s="9" t="s">
        <v>9</v>
      </c>
      <c r="B25" s="9" t="s">
        <v>34</v>
      </c>
      <c r="C25" s="9" t="s">
        <v>35</v>
      </c>
      <c r="D25" s="9" t="s">
        <v>33</v>
      </c>
      <c r="E25" s="9" t="s">
        <v>15</v>
      </c>
    </row>
    <row r="26" spans="1:10" x14ac:dyDescent="0.2">
      <c r="A26" s="9" t="s">
        <v>36</v>
      </c>
      <c r="B26" s="9">
        <v>21.925000000000001</v>
      </c>
      <c r="C26" s="9">
        <v>46.188000000000002</v>
      </c>
      <c r="D26" s="9">
        <v>-10.887499999999999</v>
      </c>
      <c r="E26" s="9">
        <v>0</v>
      </c>
    </row>
    <row r="28" spans="1:10" x14ac:dyDescent="0.2">
      <c r="A28" s="9" t="s">
        <v>9</v>
      </c>
      <c r="B28" s="9" t="s">
        <v>34</v>
      </c>
      <c r="C28" s="9" t="s">
        <v>35</v>
      </c>
      <c r="D28" s="9" t="s">
        <v>33</v>
      </c>
      <c r="E28" s="9" t="s">
        <v>15</v>
      </c>
    </row>
    <row r="29" spans="1:10" x14ac:dyDescent="0.2">
      <c r="A29" s="9" t="s">
        <v>36</v>
      </c>
      <c r="B29" s="9">
        <v>61.924999999999997</v>
      </c>
      <c r="C29" s="9">
        <v>86.188000000000002</v>
      </c>
      <c r="D29" s="9">
        <f>-61.925 / 2 - 0.15 / 2 + 20</f>
        <v>-11.037499999999998</v>
      </c>
      <c r="E29" s="9">
        <v>0</v>
      </c>
    </row>
    <row r="31" spans="1:10" x14ac:dyDescent="0.2">
      <c r="A31" t="s">
        <v>47</v>
      </c>
    </row>
    <row r="32" spans="1:10" x14ac:dyDescent="0.2">
      <c r="A32" s="9" t="s">
        <v>9</v>
      </c>
      <c r="B32" s="9" t="s">
        <v>89</v>
      </c>
      <c r="C32" s="9" t="s">
        <v>38</v>
      </c>
      <c r="D32" s="9" t="s">
        <v>39</v>
      </c>
    </row>
    <row r="33" spans="1:9" x14ac:dyDescent="0.2">
      <c r="A33" s="9" t="s">
        <v>40</v>
      </c>
      <c r="B33" s="9">
        <v>18.5</v>
      </c>
      <c r="C33" s="9">
        <v>90</v>
      </c>
      <c r="D33" s="9">
        <v>-90</v>
      </c>
    </row>
    <row r="35" spans="1:9" s="8" customFormat="1" x14ac:dyDescent="0.2">
      <c r="A35" s="8" t="s">
        <v>42</v>
      </c>
    </row>
    <row r="36" spans="1:9" x14ac:dyDescent="0.2">
      <c r="A36" t="s">
        <v>46</v>
      </c>
    </row>
    <row r="37" spans="1:9" x14ac:dyDescent="0.2">
      <c r="A37" s="9" t="s">
        <v>9</v>
      </c>
      <c r="B37" s="9" t="s">
        <v>101</v>
      </c>
      <c r="C37" s="9" t="s">
        <v>44</v>
      </c>
      <c r="D37" s="9" t="s">
        <v>33</v>
      </c>
      <c r="E37" s="9" t="s">
        <v>15</v>
      </c>
      <c r="F37" s="9" t="s">
        <v>48</v>
      </c>
      <c r="G37" s="9" t="s">
        <v>49</v>
      </c>
      <c r="H37" s="9" t="s">
        <v>50</v>
      </c>
      <c r="I37" s="9" t="s">
        <v>51</v>
      </c>
    </row>
    <row r="38" spans="1:9" x14ac:dyDescent="0.2">
      <c r="A38" s="9" t="s">
        <v>2</v>
      </c>
      <c r="B38" s="9">
        <v>516.02739999999994</v>
      </c>
      <c r="C38" s="9">
        <v>-0.52286999999999995</v>
      </c>
      <c r="D38" s="9">
        <v>31.838092199999998</v>
      </c>
      <c r="E38" s="9">
        <v>15.069077999999999</v>
      </c>
      <c r="F38" s="9">
        <v>2.4463360000000001</v>
      </c>
      <c r="G38" s="9">
        <v>3.1515374999999999</v>
      </c>
      <c r="H38" s="9">
        <v>-5.0875301999999998</v>
      </c>
      <c r="I38" s="9">
        <v>0</v>
      </c>
    </row>
    <row r="40" spans="1:9" x14ac:dyDescent="0.2">
      <c r="A40" s="9" t="s">
        <v>9</v>
      </c>
      <c r="B40" s="9" t="s">
        <v>16</v>
      </c>
      <c r="C40" s="9" t="s">
        <v>33</v>
      </c>
      <c r="D40" s="9" t="s">
        <v>15</v>
      </c>
      <c r="E40" s="9" t="s">
        <v>48</v>
      </c>
    </row>
    <row r="41" spans="1:9" x14ac:dyDescent="0.2">
      <c r="A41" s="9" t="s">
        <v>3</v>
      </c>
      <c r="B41" s="9">
        <v>516.83100000000002</v>
      </c>
      <c r="C41" s="9">
        <v>-13.975</v>
      </c>
      <c r="D41" s="9">
        <v>-13.225</v>
      </c>
      <c r="E41" s="9">
        <v>-0.36599999999999999</v>
      </c>
    </row>
    <row r="43" spans="1:9" x14ac:dyDescent="0.2">
      <c r="A43" t="s">
        <v>45</v>
      </c>
    </row>
    <row r="44" spans="1:9" x14ac:dyDescent="0.2">
      <c r="A44" s="9" t="s">
        <v>7</v>
      </c>
      <c r="B44" s="9" t="s">
        <v>34</v>
      </c>
      <c r="C44" s="9" t="s">
        <v>35</v>
      </c>
      <c r="D44" s="9" t="s">
        <v>33</v>
      </c>
      <c r="E44" s="9" t="s">
        <v>52</v>
      </c>
    </row>
    <row r="45" spans="1:9" x14ac:dyDescent="0.2">
      <c r="A45" s="9" t="s">
        <v>36</v>
      </c>
      <c r="B45" s="9">
        <v>21.925000000000001</v>
      </c>
      <c r="C45" s="9">
        <v>46.188000000000002</v>
      </c>
      <c r="D45" s="9">
        <v>10.887499999999999</v>
      </c>
      <c r="E45" s="9">
        <v>0</v>
      </c>
    </row>
    <row r="47" spans="1:9" x14ac:dyDescent="0.2">
      <c r="A47" s="9" t="s">
        <v>7</v>
      </c>
      <c r="B47" s="9" t="s">
        <v>34</v>
      </c>
      <c r="C47" s="9" t="s">
        <v>35</v>
      </c>
      <c r="D47" s="9" t="s">
        <v>33</v>
      </c>
      <c r="E47" s="9" t="s">
        <v>52</v>
      </c>
    </row>
    <row r="48" spans="1:9" x14ac:dyDescent="0.2">
      <c r="A48" s="9" t="s">
        <v>36</v>
      </c>
      <c r="B48" s="9">
        <v>61.924999999999997</v>
      </c>
      <c r="C48" s="9">
        <v>86.188000000000002</v>
      </c>
      <c r="D48" s="9">
        <f>61.925 / 2 + 0.15 / 2 - 20</f>
        <v>11.037499999999998</v>
      </c>
      <c r="E48" s="9">
        <v>0</v>
      </c>
    </row>
    <row r="50" spans="1:4" x14ac:dyDescent="0.2">
      <c r="A50" t="s">
        <v>47</v>
      </c>
    </row>
    <row r="51" spans="1:4" x14ac:dyDescent="0.2">
      <c r="A51" s="9" t="s">
        <v>7</v>
      </c>
      <c r="B51" s="9" t="s">
        <v>89</v>
      </c>
      <c r="C51" s="11" t="s">
        <v>38</v>
      </c>
      <c r="D51" s="9" t="s">
        <v>39</v>
      </c>
    </row>
    <row r="52" spans="1:4" x14ac:dyDescent="0.2">
      <c r="A52" s="9" t="s">
        <v>40</v>
      </c>
      <c r="B52" s="9">
        <v>18.5</v>
      </c>
      <c r="C52" s="11">
        <v>-90</v>
      </c>
      <c r="D52" s="9">
        <v>90</v>
      </c>
    </row>
  </sheetData>
  <sheetProtection selectLockedCells="1" selectUnlockedCells="1"/>
  <phoneticPr fontId="2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fit</vt:lpstr>
      <vt:lpstr>options2</vt:lpstr>
      <vt:lpstr>options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Auchère</dc:creator>
  <cp:lastModifiedBy>Nina Bizien</cp:lastModifiedBy>
  <dcterms:created xsi:type="dcterms:W3CDTF">2025-01-01T11:14:45Z</dcterms:created>
  <dcterms:modified xsi:type="dcterms:W3CDTF">2025-08-28T15:54:36Z</dcterms:modified>
</cp:coreProperties>
</file>